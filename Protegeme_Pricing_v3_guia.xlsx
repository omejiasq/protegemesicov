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user/Desktop/calculadora_financiero_comercialInversion/"/>
    </mc:Choice>
  </mc:AlternateContent>
  <xr:revisionPtr revIDLastSave="0" documentId="13_ncr:1_{0980AB17-E4FA-4B4C-980F-5CE7ED743021}" xr6:coauthVersionLast="47" xr6:coauthVersionMax="47" xr10:uidLastSave="{00000000-0000-0000-0000-000000000000}"/>
  <bookViews>
    <workbookView xWindow="0" yWindow="460" windowWidth="25600" windowHeight="15540" tabRatio="500" firstSheet="2" activeTab="9" xr2:uid="{00000000-000D-0000-FFFF-FFFF00000000}"/>
  </bookViews>
  <sheets>
    <sheet name="0-Leyenda" sheetId="1" r:id="rId1"/>
    <sheet name="1-Costos-Operativos" sheetId="2" r:id="rId2"/>
    <sheet name="2-SICOV" sheetId="3" r:id="rId3"/>
    <sheet name="3-App-Conductor" sheetId="4" r:id="rId4"/>
    <sheet name="4-Alcoholemia-Soplada" sheetId="5" r:id="rId5"/>
    <sheet name="5-Alcoholemia-Mensual" sheetId="6" r:id="rId6"/>
    <sheet name="6-PESV" sheetId="7" r:id="rId7"/>
    <sheet name="7-Paquetes" sheetId="8" r:id="rId8"/>
    <sheet name="8-Resumen" sheetId="9" r:id="rId9"/>
    <sheet name="9-Alc-Planes-Volumen" sheetId="10" r:id="rId10"/>
    <sheet name="10-Cotizador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2" i="11" l="1"/>
  <c r="B61" i="11"/>
  <c r="B60" i="11"/>
  <c r="B58" i="11"/>
  <c r="B57" i="11"/>
  <c r="B56" i="11"/>
  <c r="B55" i="11"/>
  <c r="E51" i="11"/>
  <c r="E50" i="11"/>
  <c r="E49" i="11"/>
  <c r="E48" i="11"/>
  <c r="E45" i="11"/>
  <c r="B39" i="11"/>
  <c r="B59" i="11" s="1"/>
  <c r="B29" i="11"/>
  <c r="B30" i="11" s="1"/>
  <c r="G22" i="11"/>
  <c r="G21" i="11"/>
  <c r="G20" i="11"/>
  <c r="G19" i="11"/>
  <c r="G18" i="11"/>
  <c r="G17" i="11"/>
  <c r="G16" i="11"/>
  <c r="E47" i="11" s="1"/>
  <c r="D26" i="10"/>
  <c r="C26" i="10"/>
  <c r="D25" i="10"/>
  <c r="C25" i="10"/>
  <c r="C24" i="10"/>
  <c r="C23" i="10"/>
  <c r="D23" i="10" s="1"/>
  <c r="B7" i="10"/>
  <c r="C42" i="9"/>
  <c r="B42" i="9"/>
  <c r="C41" i="9"/>
  <c r="B41" i="9"/>
  <c r="C40" i="9"/>
  <c r="B40" i="9"/>
  <c r="C39" i="9"/>
  <c r="B39" i="9"/>
  <c r="C38" i="9"/>
  <c r="B38" i="9"/>
  <c r="B34" i="9"/>
  <c r="B33" i="9"/>
  <c r="B32" i="9"/>
  <c r="B31" i="9"/>
  <c r="B30" i="9"/>
  <c r="D29" i="9"/>
  <c r="E29" i="9" s="1"/>
  <c r="B29" i="9"/>
  <c r="B28" i="9"/>
  <c r="B27" i="9"/>
  <c r="B15" i="9"/>
  <c r="B10" i="9"/>
  <c r="C24" i="8"/>
  <c r="E24" i="8" s="1"/>
  <c r="C23" i="8"/>
  <c r="E23" i="8" s="1"/>
  <c r="C22" i="8"/>
  <c r="E22" i="8" s="1"/>
  <c r="C21" i="8"/>
  <c r="E21" i="8" s="1"/>
  <c r="C20" i="8"/>
  <c r="E20" i="8" s="1"/>
  <c r="C19" i="8"/>
  <c r="E19" i="8" s="1"/>
  <c r="C18" i="8"/>
  <c r="E18" i="8" s="1"/>
  <c r="C17" i="8"/>
  <c r="E17" i="8" s="1"/>
  <c r="C16" i="8"/>
  <c r="E16" i="8" s="1"/>
  <c r="E32" i="7"/>
  <c r="D32" i="7"/>
  <c r="C32" i="7"/>
  <c r="B32" i="7"/>
  <c r="E18" i="7"/>
  <c r="E19" i="7" s="1"/>
  <c r="D18" i="7"/>
  <c r="D19" i="7" s="1"/>
  <c r="C18" i="7"/>
  <c r="C19" i="7" s="1"/>
  <c r="B18" i="7"/>
  <c r="B19" i="7" s="1"/>
  <c r="D18" i="6"/>
  <c r="D19" i="6" s="1"/>
  <c r="E15" i="6"/>
  <c r="D15" i="6"/>
  <c r="C15" i="6"/>
  <c r="B15" i="6"/>
  <c r="E14" i="6"/>
  <c r="D14" i="6"/>
  <c r="C14" i="6"/>
  <c r="B14" i="6"/>
  <c r="E13" i="6"/>
  <c r="D13" i="6"/>
  <c r="C13" i="6"/>
  <c r="B13" i="6"/>
  <c r="B40" i="5"/>
  <c r="B28" i="5"/>
  <c r="B23" i="5"/>
  <c r="B18" i="5"/>
  <c r="D11" i="5"/>
  <c r="D10" i="5"/>
  <c r="D9" i="5"/>
  <c r="D8" i="5"/>
  <c r="D7" i="5"/>
  <c r="D6" i="5"/>
  <c r="D12" i="5" s="1"/>
  <c r="D13" i="5" s="1"/>
  <c r="D61" i="4"/>
  <c r="C61" i="4"/>
  <c r="C60" i="4"/>
  <c r="C59" i="4"/>
  <c r="D58" i="4"/>
  <c r="C58" i="4"/>
  <c r="D57" i="4"/>
  <c r="C57" i="4"/>
  <c r="C56" i="4"/>
  <c r="B32" i="4"/>
  <c r="D30" i="9" s="1"/>
  <c r="E30" i="9" s="1"/>
  <c r="B18" i="4"/>
  <c r="B13" i="4"/>
  <c r="B22" i="4" s="1"/>
  <c r="C47" i="3"/>
  <c r="C46" i="3"/>
  <c r="C45" i="3"/>
  <c r="C44" i="3"/>
  <c r="C43" i="3"/>
  <c r="C42" i="3"/>
  <c r="B21" i="3"/>
  <c r="B13" i="3"/>
  <c r="B11" i="3"/>
  <c r="B9" i="3"/>
  <c r="B50" i="2"/>
  <c r="B51" i="2" s="1"/>
  <c r="B41" i="2"/>
  <c r="C24" i="2"/>
  <c r="E24" i="2" s="1"/>
  <c r="E23" i="2"/>
  <c r="C23" i="2"/>
  <c r="C22" i="2"/>
  <c r="E22" i="2" s="1"/>
  <c r="C17" i="2"/>
  <c r="E17" i="2" s="1"/>
  <c r="E16" i="2"/>
  <c r="C16" i="2"/>
  <c r="C15" i="2"/>
  <c r="E15" i="2" s="1"/>
  <c r="E14" i="2"/>
  <c r="E18" i="2" s="1"/>
  <c r="C14" i="2"/>
  <c r="C13" i="2"/>
  <c r="E13" i="2" s="1"/>
  <c r="D24" i="6" l="1"/>
  <c r="D26" i="6"/>
  <c r="D34" i="9"/>
  <c r="E34" i="9" s="1"/>
  <c r="D26" i="7"/>
  <c r="D24" i="7"/>
  <c r="D25" i="7" s="1"/>
  <c r="F58" i="4"/>
  <c r="E58" i="4"/>
  <c r="G58" i="4" s="1"/>
  <c r="F61" i="4"/>
  <c r="E61" i="4"/>
  <c r="G61" i="4" s="1"/>
  <c r="E26" i="7"/>
  <c r="E24" i="7"/>
  <c r="E25" i="7" s="1"/>
  <c r="D39" i="9"/>
  <c r="G19" i="8"/>
  <c r="F19" i="8"/>
  <c r="E39" i="9" s="1"/>
  <c r="G23" i="8"/>
  <c r="F23" i="8"/>
  <c r="E57" i="4"/>
  <c r="G57" i="4" s="1"/>
  <c r="F57" i="4"/>
  <c r="G18" i="8"/>
  <c r="F18" i="8"/>
  <c r="E25" i="2"/>
  <c r="B55" i="2" s="1"/>
  <c r="B15" i="3"/>
  <c r="B25" i="3" s="1"/>
  <c r="B33" i="5"/>
  <c r="D31" i="9"/>
  <c r="E31" i="9" s="1"/>
  <c r="B6" i="10"/>
  <c r="B26" i="7"/>
  <c r="B24" i="7"/>
  <c r="B25" i="7" s="1"/>
  <c r="D38" i="9"/>
  <c r="G16" i="8"/>
  <c r="F16" i="8"/>
  <c r="E38" i="9" s="1"/>
  <c r="G20" i="8"/>
  <c r="F20" i="8"/>
  <c r="D42" i="9"/>
  <c r="G24" i="8"/>
  <c r="F24" i="8"/>
  <c r="E42" i="9" s="1"/>
  <c r="D41" i="9"/>
  <c r="G22" i="8"/>
  <c r="F22" i="8"/>
  <c r="E41" i="9" s="1"/>
  <c r="B42" i="5"/>
  <c r="D32" i="9"/>
  <c r="E32" i="9" s="1"/>
  <c r="E19" i="6"/>
  <c r="C26" i="7"/>
  <c r="C24" i="7"/>
  <c r="C25" i="7" s="1"/>
  <c r="D33" i="9"/>
  <c r="E33" i="9" s="1"/>
  <c r="G17" i="8"/>
  <c r="F17" i="8"/>
  <c r="D40" i="9"/>
  <c r="G21" i="8"/>
  <c r="F21" i="8"/>
  <c r="E40" i="9" s="1"/>
  <c r="E25" i="10"/>
  <c r="E18" i="6"/>
  <c r="D59" i="4"/>
  <c r="F59" i="4" s="1"/>
  <c r="B18" i="6"/>
  <c r="B19" i="6" s="1"/>
  <c r="D24" i="10"/>
  <c r="E46" i="11"/>
  <c r="B38" i="4"/>
  <c r="D56" i="4"/>
  <c r="D60" i="4"/>
  <c r="C18" i="6"/>
  <c r="C19" i="6" s="1"/>
  <c r="C26" i="6" l="1"/>
  <c r="C24" i="6"/>
  <c r="B26" i="6"/>
  <c r="B24" i="6"/>
  <c r="D57" i="2"/>
  <c r="B57" i="2"/>
  <c r="B17" i="4"/>
  <c r="B6" i="9"/>
  <c r="B20" i="3"/>
  <c r="C56" i="2"/>
  <c r="B56" i="2"/>
  <c r="F16" i="10"/>
  <c r="F12" i="10"/>
  <c r="F13" i="10"/>
  <c r="E26" i="10"/>
  <c r="F14" i="10"/>
  <c r="E23" i="10"/>
  <c r="F15" i="10"/>
  <c r="E24" i="6"/>
  <c r="E26" i="6"/>
  <c r="F60" i="4"/>
  <c r="E60" i="4"/>
  <c r="G60" i="4" s="1"/>
  <c r="F56" i="4"/>
  <c r="E56" i="4"/>
  <c r="G56" i="4" s="1"/>
  <c r="B44" i="4"/>
  <c r="B39" i="4"/>
  <c r="E59" i="4"/>
  <c r="G59" i="4" s="1"/>
  <c r="E24" i="10"/>
  <c r="D25" i="6"/>
  <c r="D27" i="6"/>
  <c r="G25" i="10" l="1"/>
  <c r="H25" i="10" s="1"/>
  <c r="J14" i="10"/>
  <c r="I14" i="10"/>
  <c r="I25" i="10" s="1"/>
  <c r="J25" i="10" s="1"/>
  <c r="J16" i="10"/>
  <c r="I16" i="10"/>
  <c r="B27" i="6"/>
  <c r="B25" i="6"/>
  <c r="G26" i="10"/>
  <c r="H26" i="10" s="1"/>
  <c r="I15" i="10"/>
  <c r="I26" i="10" s="1"/>
  <c r="J26" i="10" s="1"/>
  <c r="I13" i="10"/>
  <c r="I24" i="10" s="1"/>
  <c r="J24" i="10" s="1"/>
  <c r="G24" i="10"/>
  <c r="H24" i="10" s="1"/>
  <c r="B19" i="4"/>
  <c r="B27" i="4"/>
  <c r="C27" i="6"/>
  <c r="C25" i="6"/>
  <c r="B22" i="3"/>
  <c r="B26" i="3"/>
  <c r="B27" i="3" s="1"/>
  <c r="E27" i="6"/>
  <c r="E25" i="6"/>
  <c r="G23" i="10"/>
  <c r="I12" i="10"/>
  <c r="I23" i="10" s="1"/>
  <c r="J12" i="10" l="1"/>
  <c r="D46" i="3"/>
  <c r="D42" i="3"/>
  <c r="B34" i="3"/>
  <c r="D27" i="9"/>
  <c r="E27" i="9" s="1"/>
  <c r="D45" i="3"/>
  <c r="D28" i="9"/>
  <c r="E28" i="9" s="1"/>
  <c r="D47" i="3"/>
  <c r="D43" i="3"/>
  <c r="D44" i="3"/>
  <c r="B32" i="11"/>
  <c r="B34" i="11" s="1"/>
  <c r="J23" i="10"/>
  <c r="B31" i="11"/>
  <c r="B33" i="11" s="1"/>
  <c r="H23" i="10"/>
  <c r="J13" i="10"/>
  <c r="J15" i="10"/>
  <c r="B35" i="3" l="1"/>
  <c r="B36" i="3"/>
  <c r="B37" i="3"/>
  <c r="E42" i="3"/>
  <c r="G42" i="3" s="1"/>
  <c r="F42" i="3"/>
  <c r="F44" i="3"/>
  <c r="E44" i="3"/>
  <c r="G44" i="3" s="1"/>
  <c r="E45" i="3"/>
  <c r="G45" i="3" s="1"/>
  <c r="F45" i="3"/>
  <c r="E46" i="3"/>
  <c r="G46" i="3" s="1"/>
  <c r="F46" i="3"/>
  <c r="F47" i="3"/>
  <c r="E47" i="3"/>
  <c r="G47" i="3" s="1"/>
  <c r="B35" i="11"/>
  <c r="F43" i="3"/>
  <c r="E43" i="3"/>
  <c r="G43" i="3" s="1"/>
</calcChain>
</file>

<file path=xl/sharedStrings.xml><?xml version="1.0" encoding="utf-8"?>
<sst xmlns="http://schemas.openxmlformats.org/spreadsheetml/2006/main" count="754" uniqueCount="585">
  <si>
    <t>PROTEGEME  –  Guia de Uso del Modelo de Costos y Precios</t>
  </si>
  <si>
    <t>ITFusion  |  Version 3  |  Marzo 2026  |  Uso interno y comercial</t>
  </si>
  <si>
    <t>1.  PARA QUE SIRVE ESTE ARCHIVO</t>
  </si>
  <si>
    <t>Este modelo tiene tres usos principales:</t>
  </si>
  <si>
    <t>1</t>
  </si>
  <si>
    <t>DEFINIR PRECIOS: Calcular el margen real de cada modulo al precio que cobra hoy, y simular que pasa si sube o baja el precio o si crece el numero de clientes.</t>
  </si>
  <si>
    <t>Hojas 2, 3, 4, 5, 6</t>
  </si>
  <si>
    <t>2</t>
  </si>
  <si>
    <t>COTIZAR CLIENTES: Generar una propuesta comercial completa seleccionando modulos, cantidades, plan de alcoholemia y descuento por paquete.</t>
  </si>
  <si>
    <t>Hoja 10-Cotizador</t>
  </si>
  <si>
    <t>3</t>
  </si>
  <si>
    <t>CONTROLAR COSTOS: Ver en tiempo real cuanto cuesta operar Protegeme por vehiculo y conductor, y como ese costo baja al crecer la base de clientes (apalancamiento SaaS).</t>
  </si>
  <si>
    <t>Hoja 1-Costos-Operativos</t>
  </si>
  <si>
    <t>2.  CONVENCIONES DE COLOR  (regla de oro: solo edite las celdas AZULES)</t>
  </si>
  <si>
    <t>A</t>
  </si>
  <si>
    <t>Texto AZUL sobre fondo AMARILLO  →  Dato de entrada. Usted lo edita.</t>
  </si>
  <si>
    <t>Ej: precio de venta, numero de vehiculos, salarios</t>
  </si>
  <si>
    <t>B</t>
  </si>
  <si>
    <t>Texto NEGRO  →  Formula calculada automaticamente. No editar.</t>
  </si>
  <si>
    <t>Ej: margen real, costo total, utilidad por vehiculo</t>
  </si>
  <si>
    <t>C</t>
  </si>
  <si>
    <t>Texto VERDE  →  Dato vinculado desde otra hoja.</t>
  </si>
  <si>
    <t>Ej: costo por vehiculo traido desde Costos-Operativos</t>
  </si>
  <si>
    <t>D</t>
  </si>
  <si>
    <t>Fondo AZUL CLARO  →  Subtotal o total de seccion.</t>
  </si>
  <si>
    <t>No editar directamente</t>
  </si>
  <si>
    <t>E</t>
  </si>
  <si>
    <t>Fondo VERDE  →  Precio de venta sugerido o resultado clave.</t>
  </si>
  <si>
    <t>Precio final calculado con el margen objetivo</t>
  </si>
  <si>
    <t>F</t>
  </si>
  <si>
    <t>Fondo ROJO  →  Modulo futuro / no disponible aun.</t>
  </si>
  <si>
    <t>PESV Fase 2: integracion tiempo real con Supertransporte</t>
  </si>
  <si>
    <t>3.  ORDEN DE USO RECOMENDADO (primera vez)</t>
  </si>
  <si>
    <t xml:space="preserve">  PASO 1  ·  Hoja 1-Costos-Operativos</t>
  </si>
  <si>
    <t xml:space="preserve">     Ingrese sus costos reales: salarios del equipo (columna B de cada cargo), numero de personas (columna D), costos de plataformas (seccion D) y el numero de vehiculos y conductores activos hoy (celdas B6 y B7). Todo el modelo se alimenta desde esta hoja.</t>
  </si>
  <si>
    <t xml:space="preserve">  PASO 2  ·  Hojas 2-SICOV y 3-App-Conductor</t>
  </si>
  <si>
    <t xml:space="preserve">     Verifique el costo por vehiculo/conductor calculado (celda verde, seccion C). Luego en seccion D ingrese el precio minimo y maximo que cobra hoy (celdas amarillas). El modelo muestra el margen real que esta obteniendo y la tabla de descuentos por volumen.</t>
  </si>
  <si>
    <t xml:space="preserve">  PASO 3  ·  Hojas 4 y 5 - Alcoholemia</t>
  </si>
  <si>
    <t xml:space="preserve">     En hoja 4 revise el costo por soplada (seccion A) y el precio actual (fila amarilla). En hoja 5 ajuste los precios mensuales por tamano de empresa (fila amarilla). En hoja 9 configure los 3 planes de precios (seccion B, celdas azules) y revise la tabla de 4 rangos.</t>
  </si>
  <si>
    <t xml:space="preserve">  PASO 4  ·  Hoja 6-PESV</t>
  </si>
  <si>
    <t xml:space="preserve">     Ajuste los precios propuestos Fase 1 por categoria (fila amarilla, seccion C). El modelo calcula el margen y el precio sugerido al 70%. Fase 2 permanece en rojo hasta que este disponible la API de Supertransporte.</t>
  </si>
  <si>
    <t xml:space="preserve">  PASO 5  ·  Hoja 7-Paquetes</t>
  </si>
  <si>
    <t xml:space="preserve">     Verifique los precios base en seccion A (celdas amarillas). Ajuste los descuentos por paquete en columna D segun su estrategia comercial. La simulacion usa 20 vehiculos y 20 conductores por defecto: cambielos en seccion A.</t>
  </si>
  <si>
    <t xml:space="preserve">  PASO 6  ·  Hoja 10-Cotizador</t>
  </si>
  <si>
    <t xml:space="preserve">     Para generar una propuesta: (A) complete los datos del cliente, (B) active los modulos con 1 o 0 y ajuste cantidades, (C) ingrese las sopladas estimadas para ver que plan conviene, (D) defina el descuento global por paquete. La seccion E muestra el precio final listo para compartir o exportar como PDF.</t>
  </si>
  <si>
    <t>4.  USO COTIDIANO - CASOS FRECUENTES</t>
  </si>
  <si>
    <t>💰  ¿Es rentable mi precio de SICOV?</t>
  </si>
  <si>
    <t xml:space="preserve">     → Hoja 2-SICOV, seccion D. Cambie B6 (vehiculos activos en hoja 1) y vea como cambia el margen real.</t>
  </si>
  <si>
    <t>📊  ¿Que pasa si crezco de 50 a 200 vehiculos?</t>
  </si>
  <si>
    <t xml:space="preserve">     → Hoja 1-Costos-Operativos, celda B6. Cambiela a 200 y observe como el costo/vehiculo baja en todas las hojas.</t>
  </si>
  <si>
    <t>🍺  Quiero cotizar alcoholemia con 3.000 sopladas/mes</t>
  </si>
  <si>
    <t xml:space="preserve">     → Hoja 9, tabla de volumen, rango 2.001-5.000. Cambie la celda amarilla a 3.000 y compare los 3 planes.</t>
  </si>
  <si>
    <t>📋  Quiero enviar una propuesta a un cliente nuevo</t>
  </si>
  <si>
    <t xml:space="preserve">     → Hoja 10-Cotizador: complete secciones A, B, C, D. Exporte como PDF o copie la seccion F como valores.</t>
  </si>
  <si>
    <t>📦  Quiero ofrecer el paquete SICOV+App+PESV</t>
  </si>
  <si>
    <t xml:space="preserve">     → Hoja 7-Paquetes, fila SICOV+App+PESV. Ajuste el descuento en columna D. El precio se recalcula.</t>
  </si>
  <si>
    <t>💸  Quiero subir el precio de SICOV</t>
  </si>
  <si>
    <t xml:space="preserve">     → Hoja 2-SICOV, seccion D, celda del precio estandar (amarilla). Cambiela y el margen se actualiza.</t>
  </si>
  <si>
    <t>🏗️  Contrate un nuevo desarrollador</t>
  </si>
  <si>
    <t xml:space="preserve">     → Hoja 1-Costos-Operativos, seccion B. Agregue el salario en la fila correspondiente. Todo se recalcula.</t>
  </si>
  <si>
    <t>🌐  PESV Fase 2 ya esta disponible</t>
  </si>
  <si>
    <t xml:space="preserve">     → Hoja 6-PESV seccion D: active el precio. Hoja 7-Paquetes: actualice precio Fase 2. Hoja 10: active modulo con 1.</t>
  </si>
  <si>
    <t>5.  REGLAS IMPORTANTES - LEA ANTES DE MODIFICAR</t>
  </si>
  <si>
    <t xml:space="preserve">  ⚠️  NUNCA edite una celda de texto negro: son formulas. Si lo hace accidentalmente, presione Ctrl+Z para deshacer inmediatamente.</t>
  </si>
  <si>
    <t xml:space="preserve">  ⚠️  La hoja 1-Costos-Operativos es la fuente de verdad. Un error alli afecta todos los modulos del modelo.</t>
  </si>
  <si>
    <t xml:space="preserve">  ⚠️  Al agregar un empleado nuevo, agregarlo siempre en la hoja 1, no directamente en las hojas de cada modulo.</t>
  </si>
  <si>
    <t xml:space="preserve">  ✅  Para hacer pruebas sin riesgo, haga una copia del archivo antes de modificar (Guardar como / Ctrl+Shift+S).</t>
  </si>
  <si>
    <t xml:space="preserve">  ✅  Los precios en hoja 10-Cotizador se pueden sobrescribir puntualmente para una propuesta especifica sin afectar el modelo base.</t>
  </si>
  <si>
    <t xml:space="preserve">  ✅  El modelo proratea el 100% de costos operativos entre vehiculos y conductores. Si tiene lineas de negocio separadas, ajuste el prorrateo manualmente en hoja 1.</t>
  </si>
  <si>
    <t>6.  ESTRUCTURA DE LAS 11 HOJAS</t>
  </si>
  <si>
    <t>Hoja</t>
  </si>
  <si>
    <t>Color pestaña</t>
  </si>
  <si>
    <t>Para que sirve</t>
  </si>
  <si>
    <t>0-Leyenda</t>
  </si>
  <si>
    <t>Azul oscuro</t>
  </si>
  <si>
    <t>Esta guia de uso completa</t>
  </si>
  <si>
    <t>1-Costos-Operativos</t>
  </si>
  <si>
    <t>Gris</t>
  </si>
  <si>
    <t>Fuente de verdad: personal + cloud + admin. Todo parte de aqui.</t>
  </si>
  <si>
    <t>2-SICOV</t>
  </si>
  <si>
    <t>Verde</t>
  </si>
  <si>
    <t>Precio/vehiculo/mes. Margen real al precio que cobra hoy.</t>
  </si>
  <si>
    <t>3-App-Conductor</t>
  </si>
  <si>
    <t>Morado</t>
  </si>
  <si>
    <t>Precio/conductor/mes. GPS + habitos + seguridad vial.</t>
  </si>
  <si>
    <t>4-Alcoholemia-Soplada</t>
  </si>
  <si>
    <t>Azul</t>
  </si>
  <si>
    <t>Costo y precio por soplada individual. Dispositivo fisico.</t>
  </si>
  <si>
    <t>5-Alcoholemia-Mensual</t>
  </si>
  <si>
    <t>Azul medio</t>
  </si>
  <si>
    <t>Precio base mensual por tamano de empresa.</t>
  </si>
  <si>
    <t>6-PESV</t>
  </si>
  <si>
    <t>Rojo</t>
  </si>
  <si>
    <t>Fases 1 y 2. Clasificacion Supertransporte.</t>
  </si>
  <si>
    <t>7-Paquetes</t>
  </si>
  <si>
    <t>Naranja</t>
  </si>
  <si>
    <t>Precios combinados con descuentos por paquete.</t>
  </si>
  <si>
    <t>8-Resumen</t>
  </si>
  <si>
    <t>Azul petroleo</t>
  </si>
  <si>
    <t>Vista ejecutiva para inversionistas y equipo directivo.</t>
  </si>
  <si>
    <t>9-Alc-Planes-Volumen</t>
  </si>
  <si>
    <t>Verde agua</t>
  </si>
  <si>
    <t>3 planes alcoholemia (PPU / Fijo / Prepago). Tabla 4 rangos de consumo.</t>
  </si>
  <si>
    <t>10-Cotizador</t>
  </si>
  <si>
    <t>Naranja dorado</t>
  </si>
  <si>
    <t>Cotizador interactivo por cliente. Exportable como propuesta comercial.</t>
  </si>
  <si>
    <t>Protegeme  ·  ITFusion  ·  Modelo de precios v3  ·  Marzo 2026  ·  Confidencial - uso interno</t>
  </si>
  <si>
    <t>COSTOS OPERATIVOS MENSUALES – Base para prorrateo de todos los módulos</t>
  </si>
  <si>
    <t>ℹ️  Esta hoja es la FUENTE DE VERDAD. Ingrese aquí sus costos reales. Los demás módulos toman el costo proporcional por vehículo/conductor desde aquí.</t>
  </si>
  <si>
    <t>A. PARÁMETROS DE FLOTA ACTIVA (para prorrateo)</t>
  </si>
  <si>
    <t>Parámetro</t>
  </si>
  <si>
    <t>Valor actual</t>
  </si>
  <si>
    <t>Proyección 6 meses</t>
  </si>
  <si>
    <t>Nota</t>
  </si>
  <si>
    <t>Vehículos activos (SICOV)</t>
  </si>
  <si>
    <t>Total vehículos facturando hoy</t>
  </si>
  <si>
    <t>Conductores activos (App Conductor)</t>
  </si>
  <si>
    <t>Total conductores facturando hoy</t>
  </si>
  <si>
    <t>Empresas con Alcoholemia mensual</t>
  </si>
  <si>
    <t>Empresas en base mensual alcoholemia</t>
  </si>
  <si>
    <t>Empresas con PESV contratado</t>
  </si>
  <si>
    <t>Clientes PESV activos</t>
  </si>
  <si>
    <t>B. PERSONAL – SOPORTE TÉCNICO</t>
  </si>
  <si>
    <t>Cargo</t>
  </si>
  <si>
    <t>Salario base (COP)</t>
  </si>
  <si>
    <t>Prestaciones (52%)</t>
  </si>
  <si>
    <t># Personas</t>
  </si>
  <si>
    <t>Costo total/mes</t>
  </si>
  <si>
    <t>Líder técnico / DevOps</t>
  </si>
  <si>
    <t>Infraestructura y despliegues</t>
  </si>
  <si>
    <t>Desarrollador backend (NestJS)</t>
  </si>
  <si>
    <t>APIs y lógica de negocio</t>
  </si>
  <si>
    <t>Desarrollador mobile (Flutter)</t>
  </si>
  <si>
    <t>App conductor + SICOV móvil</t>
  </si>
  <si>
    <t>Soporte N1 / helpdesk</t>
  </si>
  <si>
    <t>Atención incidencias clientes</t>
  </si>
  <si>
    <t>QA / Analista de datos</t>
  </si>
  <si>
    <t>Calidad y reportes</t>
  </si>
  <si>
    <t>SUBTOTAL SOPORTE TÉCNICO</t>
  </si>
  <si>
    <t>C. PERSONAL – COMERCIAL Y SERVICIO AL CLIENTE</t>
  </si>
  <si>
    <t>Ejecutiva comercial (Madeleine A.)</t>
  </si>
  <si>
    <t>Ventas + comisiones aparte</t>
  </si>
  <si>
    <t>Asesor servicio al cliente</t>
  </si>
  <si>
    <t>Soporte funcional clientes</t>
  </si>
  <si>
    <t>Consultor onboarding / implementac.</t>
  </si>
  <si>
    <t>Implementación nuevos clientes</t>
  </si>
  <si>
    <t>SUBTOTAL COMERCIAL / SERVICIO AL CLIENTE</t>
  </si>
  <si>
    <t>D. PLATAFORMAS, CLOUD Y SERVICIOS TECH</t>
  </si>
  <si>
    <t>Servicio</t>
  </si>
  <si>
    <t>Costo/mes (COP)</t>
  </si>
  <si>
    <t>¿Escala con clientes?</t>
  </si>
  <si>
    <t>Proveedor</t>
  </si>
  <si>
    <t>Servidor VPS / Cloud (SSD Nodes / OCI)</t>
  </si>
  <si>
    <t>Sí</t>
  </si>
  <si>
    <t>Firebase (Firestore + Storage + Auth)</t>
  </si>
  <si>
    <t>Google Maps API (GPS + rutas)</t>
  </si>
  <si>
    <t>IA Visión (facial + alcoholemia)</t>
  </si>
  <si>
    <t>CDN + WAF (Cloudflare)</t>
  </si>
  <si>
    <t>No</t>
  </si>
  <si>
    <t>MongoDB Atlas</t>
  </si>
  <si>
    <t>Google Workspace (correo + docs)</t>
  </si>
  <si>
    <t>CRM + soporte (HubSpot / Freshdesk)</t>
  </si>
  <si>
    <t>Certificados SSL / Dominio</t>
  </si>
  <si>
    <t>Backup y disaster recovery</t>
  </si>
  <si>
    <t>Pasarela de pagos (comisiones est.)</t>
  </si>
  <si>
    <t>Otros servicios tech</t>
  </si>
  <si>
    <t>SUBTOTAL PLATAFORMAS / CLOUD</t>
  </si>
  <si>
    <t>E. GASTOS GENERALES Y ADMINISTRATIVOS</t>
  </si>
  <si>
    <t>Concepto</t>
  </si>
  <si>
    <t>Arriendo oficina / coworking</t>
  </si>
  <si>
    <t>Servicios públicos y conectividad</t>
  </si>
  <si>
    <t>Contabilidad y jurídico</t>
  </si>
  <si>
    <t>Marketing y publicidad digital</t>
  </si>
  <si>
    <t>Viáticos y transporte comercial</t>
  </si>
  <si>
    <t>Imprevistos / contingencia (5%)</t>
  </si>
  <si>
    <t>5% sobre total anterior</t>
  </si>
  <si>
    <t>SUBTOTAL GASTOS GENERALES</t>
  </si>
  <si>
    <t>F. TOTAL OPERATIVO MENSUAL Y PRORRATEO POR UNIDAD</t>
  </si>
  <si>
    <t>Valor (COP)</t>
  </si>
  <si>
    <t>Por vehículo activo</t>
  </si>
  <si>
    <t>Por conductor activo</t>
  </si>
  <si>
    <t>TOTAL COSTOS OPERATIVOS / MES</t>
  </si>
  <si>
    <t>Costo operativo por vehículo / mes (prorrateo)</t>
  </si>
  <si>
    <t>← Costo que absorbe cada vehículo activo</t>
  </si>
  <si>
    <t>Costo operativo por conductor / mes (prorrateo)</t>
  </si>
  <si>
    <t>← Costo que absorbe cada conductor activo</t>
  </si>
  <si>
    <t>📌  IMPORTANTE: El 'prorrateo por vehículo' divide TODO el costo operativo (personal+tech+admin) entre los vehículos activos. Con pocos clientes el costo/vehículo es alto; crece la base → baja el costo → sube el margen. Así funciona el apalancamiento operativo SaaS.</t>
  </si>
  <si>
    <t>MÓDULO SICOV – Alistamiento y Mantenimiento de Vehículos</t>
  </si>
  <si>
    <t>ℹ️  El costo por vehículo/mes se compone de: (1) costos variables técnicos + (2) prorrateo del costo operativo desde hoja 1. El modelo calcula el margen REAL al precio que cobra hoy.</t>
  </si>
  <si>
    <t>A. COSTOS TÉCNICOS VARIABLES POR VEHÍCULO / MES</t>
  </si>
  <si>
    <t>Valor input</t>
  </si>
  <si>
    <t>Frecuencia/mes</t>
  </si>
  <si>
    <t>Costo parcial (COP)</t>
  </si>
  <si>
    <t>Costo por foto (storage cloud)</t>
  </si>
  <si>
    <t>COP/foto</t>
  </si>
  <si>
    <t>Fotos por registro de mantenimiento</t>
  </si>
  <si>
    <t>fotos/registro</t>
  </si>
  <si>
    <t>Registros estimados / vehículo / mes</t>
  </si>
  <si>
    <t>registros/mes</t>
  </si>
  <si>
    <t>→ Costo almacenamiento / veh / mes</t>
  </si>
  <si>
    <t>Calculado</t>
  </si>
  <si>
    <t>↑ calculado</t>
  </si>
  <si>
    <t>Procesamiento IA por registro (visión)</t>
  </si>
  <si>
    <t>COP/registro</t>
  </si>
  <si>
    <t>→ Costo IA / veh / mes</t>
  </si>
  <si>
    <t>Firmas digitales por registro</t>
  </si>
  <si>
    <t>COP/firma</t>
  </si>
  <si>
    <t>→ Costo firmas / veh / mes</t>
  </si>
  <si>
    <t>Notificaciones push / SMS por veh/mes</t>
  </si>
  <si>
    <t>COP/mes</t>
  </si>
  <si>
    <t>Subtotal costos técnicos variables / veh / mes</t>
  </si>
  <si>
    <t>B. PRORRATEO DE COSTOS OPERATIVOS (desde hoja 1-Costos-Operativos)</t>
  </si>
  <si>
    <t>📌  Este bloque toma el costo operativo total (personal+tech+admin) y lo divide entre los vehículos activos. A más clientes → menor costo/vehículo → mayor margen.</t>
  </si>
  <si>
    <t>Fuente</t>
  </si>
  <si>
    <t>Total costos operativos / mes</t>
  </si>
  <si>
    <t>← Hoja 1-Costos-Operativos</t>
  </si>
  <si>
    <t>PRORRATEO COSTO OPERATIVO / VEHÍCULO / MES</t>
  </si>
  <si>
    <t>← Se actualiza automáticamente</t>
  </si>
  <si>
    <t>C. COSTO TOTAL POR VEHÍCULO / MES</t>
  </si>
  <si>
    <t>Costos técnicos variables / veh / mes</t>
  </si>
  <si>
    <t>Prorrateo costos operativos / veh / mes</t>
  </si>
  <si>
    <t>COSTO TOTAL / VEHÍCULO / MES</t>
  </si>
  <si>
    <t>D. PRECIO DE MERCADO ACTUAL → MARGEN REAL</t>
  </si>
  <si>
    <t>📌  Ingrese el precio que cobra hoy. El modelo calcula qué margen real está obteniendo. ESTO ES LO QUE IMPORTA.</t>
  </si>
  <si>
    <t>Valor</t>
  </si>
  <si>
    <t>Interpretación</t>
  </si>
  <si>
    <t>Precio mínimo cobrado hoy (COP/veh/mes)</t>
  </si>
  <si>
    <t>Clientes con descuento / flota grande</t>
  </si>
  <si>
    <t>Precio estándar / máximo (COP/veh/mes)</t>
  </si>
  <si>
    <t>Precio de lista / clientes nuevos</t>
  </si>
  <si>
    <t>Costo total / vehículo / mes</t>
  </si>
  <si>
    <t>MARGEN REAL al precio mínimo (14K)</t>
  </si>
  <si>
    <t>Margen bruto real hoy — precio mínimo</t>
  </si>
  <si>
    <t>MARGEN REAL al precio estándar (18K)</t>
  </si>
  <si>
    <t>Margen bruto real hoy — precio estándar</t>
  </si>
  <si>
    <t>Utilidad / vehículo / mes al precio estándar</t>
  </si>
  <si>
    <t>E. SIMULACIÓN DE PRECIO Y MARGEN POR VOLUMEN DE FLOTA</t>
  </si>
  <si>
    <t>📌  El descuento se aplica sobre el precio estándar (celda D arriba). El margen se calcula contra el costo real. Si el margen cae bajo 60%, ajuste el descuento.</t>
  </si>
  <si>
    <t>Rango de Flota</t>
  </si>
  <si>
    <t>Descuento (%)</t>
  </si>
  <si>
    <t>Precio / veh / mes</t>
  </si>
  <si>
    <t>Costo / veh / mes</t>
  </si>
  <si>
    <t>Margen bruto (%)</t>
  </si>
  <si>
    <t>Utilidad / veh</t>
  </si>
  <si>
    <t>¿Viable? (&gt;60%)</t>
  </si>
  <si>
    <t>1 – 10 vehículos</t>
  </si>
  <si>
    <t>11 – 30 vehículos</t>
  </si>
  <si>
    <t>31 – 60 vehículos</t>
  </si>
  <si>
    <t>61 – 100 vehículos</t>
  </si>
  <si>
    <t>101 – 200 vehículos</t>
  </si>
  <si>
    <t>201+ vehículos</t>
  </si>
  <si>
    <t>⚠️  Con pocos vehículos el prorrateo operativo es alto → margen bajo. Esto es normal al inicio. A medida que crece la base de clientes, el margen sube automáticamente.</t>
  </si>
  <si>
    <t>APP CONDUCTOR – GPS Avanzado + Hábitos + Seguridad Vial (PRE-PESV)</t>
  </si>
  <si>
    <t>ℹ️  Mismo esquema que SICOV: costos técnicos variables + prorrateo operativo. Precio base: COP 28.000/conductor/mes.</t>
  </si>
  <si>
    <t>A. COSTOS TÉCNICOS VARIABLES POR CONDUCTOR / MES</t>
  </si>
  <si>
    <t>Unidad</t>
  </si>
  <si>
    <t>Costo parcial</t>
  </si>
  <si>
    <t>GPS tracking – datos móvil + servidor</t>
  </si>
  <si>
    <t>Procesamiento hábitos conducción (IA)</t>
  </si>
  <si>
    <t>Detección distracciones celular (IA)</t>
  </si>
  <si>
    <t>Reconocimiento facial ingreso/salida (IA)</t>
  </si>
  <si>
    <t>Alarmas fotomultas / velocidad (API Maps)</t>
  </si>
  <si>
    <t>Almacenamiento datos + trayectorias</t>
  </si>
  <si>
    <t>Notificaciones push / alertas</t>
  </si>
  <si>
    <t>Subtotal costos técnicos / conductor / mes</t>
  </si>
  <si>
    <t>B. PRORRATEO COSTOS OPERATIVOS (desde hoja 1)</t>
  </si>
  <si>
    <t>Conductores activos</t>
  </si>
  <si>
    <t>PRORRATEO COSTO OPERATIVO / CONDUCTOR / MES</t>
  </si>
  <si>
    <t>C. COSTO TOTAL POR CONDUCTOR / MES</t>
  </si>
  <si>
    <t>Costos técnicos variables</t>
  </si>
  <si>
    <t>Prorrateo costos operativos</t>
  </si>
  <si>
    <t>COSTO TOTAL / CONDUCTOR / MES</t>
  </si>
  <si>
    <t>Precio mínimo cobrado hoy (COP/conductor/mes)</t>
  </si>
  <si>
    <t>Conductores con descuento / flota grande</t>
  </si>
  <si>
    <t>Precio estándar / máximo (COP/conductor/mes)</t>
  </si>
  <si>
    <t>Costo total / conductor / mes</t>
  </si>
  <si>
    <t>MARGEN REAL al precio mínimo</t>
  </si>
  <si>
    <t>MARGEN REAL al precio estándar (28K)</t>
  </si>
  <si>
    <t>E. SIMULACIÓN PRECIO Y MARGEN POR VOLUMEN DE CONDUCTORES</t>
  </si>
  <si>
    <t>Rango conductores</t>
  </si>
  <si>
    <t>Precio / conductor</t>
  </si>
  <si>
    <t>Costo / conductor</t>
  </si>
  <si>
    <t>Utilidad</t>
  </si>
  <si>
    <t>1 – 10 conductores</t>
  </si>
  <si>
    <t>11 – 30 conductores</t>
  </si>
  <si>
    <t>31 – 60 conductores</t>
  </si>
  <si>
    <t>61 – 100 conductores</t>
  </si>
  <si>
    <t>101 – 200 conductores</t>
  </si>
  <si>
    <t>201+ conductores</t>
  </si>
  <si>
    <t>MÓDULO ALCOHOLEMIA – Precio por Soplada</t>
  </si>
  <si>
    <t>ℹ️  Cada soplada genera: 3 fotos faciales (reconocimiento) + 1 foto evidencia + llamada IA. El precio/soplada es variable sobre una base mensual.</t>
  </si>
  <si>
    <t>A. COSTOS POR SOPLADA (variables técnicos)</t>
  </si>
  <si>
    <t>Cant. por soplada</t>
  </si>
  <si>
    <t>Costo por soplada (COP)</t>
  </si>
  <si>
    <t>Fotos reconocimiento facial (por soplada)</t>
  </si>
  <si>
    <t>Foto evidencia del momento (por soplada)</t>
  </si>
  <si>
    <t>Procesamiento IA detección alcohol</t>
  </si>
  <si>
    <t>Transmisión datos IoT (evento)</t>
  </si>
  <si>
    <t>Cómputo servidor por evento</t>
  </si>
  <si>
    <t>Soporte técnico proporcional</t>
  </si>
  <si>
    <t>Contingencia (5% sobre subtotal)</t>
  </si>
  <si>
    <t>COSTO TOTAL POR SOPLADA</t>
  </si>
  <si>
    <t>B. PRECIO DE VENTA POR SOPLADA → MARGEN REAL</t>
  </si>
  <si>
    <t>Precio actual cobrado por soplada (COP)</t>
  </si>
  <si>
    <t>Precio actual de mercado Protegeme</t>
  </si>
  <si>
    <t>Costo por soplada (calculado arriba)</t>
  </si>
  <si>
    <t>MARGEN REAL por soplada al precio actual</t>
  </si>
  <si>
    <t>Utilidad por soplada (COP)</t>
  </si>
  <si>
    <t>Precio sugerido al 70% de margen (COP)</t>
  </si>
  <si>
    <t>Si quiere subir a 70% de margen</t>
  </si>
  <si>
    <t>C. DISPOSITIVO FÍSICO DE ALCOHOLEMIA (venta única)</t>
  </si>
  <si>
    <t>Costo (COP)</t>
  </si>
  <si>
    <t>Costo hardware dispositivo</t>
  </si>
  <si>
    <t>Logística / envío</t>
  </si>
  <si>
    <t>Garantía y reposición (prorrateado)</t>
  </si>
  <si>
    <t>COSTO TOTAL DISPOSITIVO</t>
  </si>
  <si>
    <t>Precio de venta dispositivo</t>
  </si>
  <si>
    <t>Precio estándar actual</t>
  </si>
  <si>
    <t>Margen dispositivo (%)</t>
  </si>
  <si>
    <t>MÓDULO ALCOHOLEMIA – Base Mensual por Tamaño de Empresa</t>
  </si>
  <si>
    <t>ℹ️  La base mensual incluye un paquete de sopladas + almacenamiento de 3 fotos/conductor. Las sopladas extra se cobran por unidad adicional.</t>
  </si>
  <si>
    <t>A. PARÁMETROS POR TAMAÑO DE EMPRESA</t>
  </si>
  <si>
    <t>Pequeña</t>
  </si>
  <si>
    <t>Mediana</t>
  </si>
  <si>
    <t>Grande</t>
  </si>
  <si>
    <t>Corporativa</t>
  </si>
  <si>
    <t>Vehículos / conductores promedio</t>
  </si>
  <si>
    <t>Sopladas incluidas / mes</t>
  </si>
  <si>
    <t>Conductores registrados (fotos)</t>
  </si>
  <si>
    <t>Precio soplada extra (COP/u)</t>
  </si>
  <si>
    <t>B. COSTOS MENSUALES POR TAMAÑO</t>
  </si>
  <si>
    <t>Concepto de Costo</t>
  </si>
  <si>
    <t>Almac. fotos conductores (3 fotos × cond × COP 2/foto/mes)</t>
  </si>
  <si>
    <t>Almac. fotos evidencia (sopladas × COP 30/foto)</t>
  </si>
  <si>
    <t>Procesamiento IA (sopladas incluidas × COP 80)</t>
  </si>
  <si>
    <t>Infraestructura plataforma fija (por tamaño)</t>
  </si>
  <si>
    <t>Contingencia (5%)</t>
  </si>
  <si>
    <t>COSTO TOTAL MENSUAL</t>
  </si>
  <si>
    <t>C. PRECIO DE VENTA MENSUAL POR TAMAÑO → MARGEN REAL</t>
  </si>
  <si>
    <t>Precio mensual cobrado HOY (COP/mes)</t>
  </si>
  <si>
    <t>Costo total mensual (calculado arriba)</t>
  </si>
  <si>
    <t>MARGEN REAL al precio actual (%)</t>
  </si>
  <si>
    <t>Precio sugerido al 70% margen (COP)</t>
  </si>
  <si>
    <t>Utilidad mensual estimada (COP)</t>
  </si>
  <si>
    <t>MÓDULO PESV – Fases 1 y 2 | Supertransporte Colombia</t>
  </si>
  <si>
    <t>ℹ️  Fase 1: carga histórica + almacenamiento formularios. Fase 2 (FUTURO): integración tiempo real con Supertransporte (precio adicional).</t>
  </si>
  <si>
    <t>A. CLASIFICACIÓN EMPRESA SUPERTRANSPORTE (criterio PESV)</t>
  </si>
  <si>
    <t>Categoría</t>
  </si>
  <si>
    <t>Flota / criterio</t>
  </si>
  <si>
    <t>Formularios Fase 1</t>
  </si>
  <si>
    <t>Almac. archivos est.</t>
  </si>
  <si>
    <t>1–10 vehículos</t>
  </si>
  <si>
    <t>~12 formularios</t>
  </si>
  <si>
    <t>hasta 500 MB</t>
  </si>
  <si>
    <t>Según clasificación Supertransporte</t>
  </si>
  <si>
    <t>11–50 vehículos</t>
  </si>
  <si>
    <t>~25 formularios</t>
  </si>
  <si>
    <t>hasta 2 GB</t>
  </si>
  <si>
    <t>51–200 vehículos</t>
  </si>
  <si>
    <t>~40 formularios</t>
  </si>
  <si>
    <t>hasta 10 GB</t>
  </si>
  <si>
    <t>200+ vehículos</t>
  </si>
  <si>
    <t>~60 formularios</t>
  </si>
  <si>
    <t>hasta 50 GB</t>
  </si>
  <si>
    <t>B. COSTOS MENSUALES POR CATEGORÍA – FASE 1 (carga histórica)</t>
  </si>
  <si>
    <t>Almacenamiento archivos (COP/GB/mes)</t>
  </si>
  <si>
    <t>Procesamiento IA formularios (extracción)</t>
  </si>
  <si>
    <t>Infraestructura plataforma</t>
  </si>
  <si>
    <t>Soporte implementación (prorrateado/mes)</t>
  </si>
  <si>
    <t>Mantenimiento y actualizaciones</t>
  </si>
  <si>
    <t>COSTO TOTAL MENSUAL FASE 1</t>
  </si>
  <si>
    <t>C. PRECIO DE VENTA FASE 1 → MARGEN REAL</t>
  </si>
  <si>
    <t>Precio mensual propuesto (COP/mes) – editar</t>
  </si>
  <si>
    <t>Costo mensual Fase 1 (calculado arriba)</t>
  </si>
  <si>
    <t>MARGEN REAL Fase 1 (%)</t>
  </si>
  <si>
    <t>Precio sugerido al 70% margen</t>
  </si>
  <si>
    <t>D. FASE 2 – INTEGRACIÓN TIEMPO REAL CON SUPERTRANSPORTE (FUTURO)</t>
  </si>
  <si>
    <t>⏳  Fase 2 disponible cuando esté operativa la integración API con Supertransporte. Precio = Precio Fase 1 × factor adicional.</t>
  </si>
  <si>
    <t>Factor adicional Fase 2 sobre Fase 1 (%)</t>
  </si>
  <si>
    <t>PRECIO ESTIMADO FASE 2 (COP/mes)</t>
  </si>
  <si>
    <t>PAQUETES COMERCIALES PROTEGEME – Precios y Descuentos</t>
  </si>
  <si>
    <t>ℹ️  Simule con los parámetros de la empresa cliente (azul). Las fórmulas calculan el precio lista, el descuento y el precio final del paquete.</t>
  </si>
  <si>
    <t>A. PARÁMETROS DE SIMULACIÓN (empresa cliente tipo)</t>
  </si>
  <si>
    <t>Vehículos del cliente</t>
  </si>
  <si>
    <t>vehículos</t>
  </si>
  <si>
    <t>Conductores del cliente</t>
  </si>
  <si>
    <t>conductores</t>
  </si>
  <si>
    <t>Precio SICOV / veh / mes</t>
  </si>
  <si>
    <t>COP/veh/mes</t>
  </si>
  <si>
    <t>Precio App Conductor / cond / mes</t>
  </si>
  <si>
    <t>COP/cond/mes</t>
  </si>
  <si>
    <t>Precio Alc. mensual (empresa mediana)</t>
  </si>
  <si>
    <t>Precio PESV Fase 1 (empresa mediana)</t>
  </si>
  <si>
    <t>B. PAQUETES DISPONIBLES</t>
  </si>
  <si>
    <t>📌  Ajuste el % de descuento (azul) según su estrategia. Las celdas verdes muestran el precio final del paquete.</t>
  </si>
  <si>
    <t>Paquete</t>
  </si>
  <si>
    <t>Módulos incluidos</t>
  </si>
  <si>
    <t>Precio Lista (COP/mes)</t>
  </si>
  <si>
    <t>PRECIO PAQUETE</t>
  </si>
  <si>
    <t>Ahorro (COP)</t>
  </si>
  <si>
    <t>Margen est.</t>
  </si>
  <si>
    <t>Estado</t>
  </si>
  <si>
    <t>Solo SICOV</t>
  </si>
  <si>
    <t>SICOV</t>
  </si>
  <si>
    <t>Alistamiento y mantenimiento vehicular</t>
  </si>
  <si>
    <t>Solo App Conductor</t>
  </si>
  <si>
    <t>App Conductor</t>
  </si>
  <si>
    <t>GPS + hábitos + seguridad vial</t>
  </si>
  <si>
    <t>Solo PESV Fase 1</t>
  </si>
  <si>
    <t>PESV Fase 1</t>
  </si>
  <si>
    <t>Carga histórica formularios Supertransporte</t>
  </si>
  <si>
    <t>SICOV + PESV</t>
  </si>
  <si>
    <t>SICOV + PESV F1</t>
  </si>
  <si>
    <t>Compliance básico ✅</t>
  </si>
  <si>
    <t>App Conductor + Alcoholemia mensual</t>
  </si>
  <si>
    <t>App + Alcoholemia</t>
  </si>
  <si>
    <t>Control conductor + alcohol</t>
  </si>
  <si>
    <t>SICOV + App Conductor + PESV</t>
  </si>
  <si>
    <t>SICOV + App + PESV</t>
  </si>
  <si>
    <t>Paquete PRE-PESV completo ✅</t>
  </si>
  <si>
    <t>SICOV + App + Alcoholemia + PESV</t>
  </si>
  <si>
    <t>SICOV + App + Alc + PESV</t>
  </si>
  <si>
    <t>Paquete FULL – máxima cobertura ✅</t>
  </si>
  <si>
    <t>SICOV + Alcoholemia mensual</t>
  </si>
  <si>
    <t>SICOV + Alcoholemia</t>
  </si>
  <si>
    <t>Flota + control alcohol</t>
  </si>
  <si>
    <t>PESV Fase 2 – tiempo real (FUTURO)</t>
  </si>
  <si>
    <t>PESV F2 (integración API)</t>
  </si>
  <si>
    <t>⏳ Disponible cuando esté lista la API Supertransporte</t>
  </si>
  <si>
    <t>⚠️  El margen de la col G es estimado (asume ~30% de costo sobre precio lista). Para el margen exacto consulte las hojas de cada módulo.</t>
  </si>
  <si>
    <t>RESUMEN EJECUTIVO – Protegeme Pricing Model  |  ITFusion 2026</t>
  </si>
  <si>
    <t>ℹ️  Vista consolidada para inversionistas y equipo comercial. Modifique los datos en las hojas fuente; este resumen se actualiza automáticamente.</t>
  </si>
  <si>
    <t>A. COSTOS OPERATIVOS TOTALES / MES</t>
  </si>
  <si>
    <t>COP / mes</t>
  </si>
  <si>
    <t>Proyección 6M</t>
  </si>
  <si>
    <t>Ver hoja 1 col. Proyección</t>
  </si>
  <si>
    <t>B. PRECIOS DE VENTA Y MÁRGENES REALES HOY</t>
  </si>
  <si>
    <t>Módulo / Servicio</t>
  </si>
  <si>
    <t>Precio de venta (COP)</t>
  </si>
  <si>
    <t>Costo estimado</t>
  </si>
  <si>
    <t>Margen real (%)</t>
  </si>
  <si>
    <t>SICOV – precio mínimo</t>
  </si>
  <si>
    <t>✅ Activo</t>
  </si>
  <si>
    <t>SICOV – precio estándar</t>
  </si>
  <si>
    <t>App Conductor – mínimo</t>
  </si>
  <si>
    <t>App Conductor – estándar</t>
  </si>
  <si>
    <t>Alcoholemia – por soplada</t>
  </si>
  <si>
    <t>COP/soplada</t>
  </si>
  <si>
    <t>Dispositivo alcoholemia</t>
  </si>
  <si>
    <t>COP unidad</t>
  </si>
  <si>
    <t>PESV Fase 1 – Mediana</t>
  </si>
  <si>
    <t>COP/mes empresa</t>
  </si>
  <si>
    <t>PESV Fase 1 – Grande</t>
  </si>
  <si>
    <t>C. PAQUETES DESTACADOS (empresa referencia 20 veh / 20 conductores)</t>
  </si>
  <si>
    <t>Precio lista (COP/mes)</t>
  </si>
  <si>
    <t>Descuento</t>
  </si>
  <si>
    <t>Precio paquete</t>
  </si>
  <si>
    <t>Ahorro cliente</t>
  </si>
  <si>
    <t>Recomendado</t>
  </si>
  <si>
    <t>Compliance básico</t>
  </si>
  <si>
    <t>PRE-PESV completo ✅</t>
  </si>
  <si>
    <t>Paquete FULL ✅</t>
  </si>
  <si>
    <t>PESV Fase 2 (FUTURO)</t>
  </si>
  <si>
    <t>⏳ Próximamente</t>
  </si>
  <si>
    <t>📌  Para ajustar cualquier precio o supuesto, vaya a la hoja correspondiente y modifique las celdas en AZUL. Este resumen se actualiza automáticamente.</t>
  </si>
  <si>
    <t>💡  CLAVE: a medida que crece el número de clientes (hoja 1-Costos-Operativos, celdas B6 y B7), el costo por vehículo/conductor baja y el margen real sube.</t>
  </si>
  <si>
    <t>ALCOHOLEMIA – Planes de Precios y Tabla de Volumen de Sopladas</t>
  </si>
  <si>
    <t>ℹ️  Azul = editable. 3 planes disponibles: Pay-per-use | Plan Fijo Mensual | Plan Prepago con descuento. La tabla de volumen muestra el precio por soplada y total mensual según consumo.</t>
  </si>
  <si>
    <t>A. COSTO BASE POR SOPLADA (vinculado automáticamente de hoja 4-Alcoholemia-Soplada)</t>
  </si>
  <si>
    <t>COP</t>
  </si>
  <si>
    <t>Costo total por soplada (técnico)</t>
  </si>
  <si>
    <t>← Desde hoja 4 (se actualiza solo)</t>
  </si>
  <si>
    <t>Precio actual pay-per-use (COP/soplada)</t>
  </si>
  <si>
    <t>B. PARÁMETROS DE LOS 3 PLANES (celdas azules = editar)</t>
  </si>
  <si>
    <t>Parámetro / Plan</t>
  </si>
  <si>
    <t>PLAN 1: Pay-per-Use</t>
  </si>
  <si>
    <t>PLAN 2: Fijo Mensual</t>
  </si>
  <si>
    <t>PLAN 3: Prepago (desc.)</t>
  </si>
  <si>
    <t>Precio/soplada (COP)</t>
  </si>
  <si>
    <t>Margen obj. (%)</t>
  </si>
  <si>
    <t>Sopladas incluidas</t>
  </si>
  <si>
    <t>Precio fijo/mes (COP)</t>
  </si>
  <si>
    <t>Extra/soplada (COP)</t>
  </si>
  <si>
    <t>Precio prepago/mes</t>
  </si>
  <si>
    <t>Desc. vs Plan 1 (%)</t>
  </si>
  <si>
    <t>Básico  (hasta 300 sopladas)</t>
  </si>
  <si>
    <t>Estándar</t>
  </si>
  <si>
    <t>Estándar (hasta 900 sopladas)</t>
  </si>
  <si>
    <t>Volumen M</t>
  </si>
  <si>
    <t>Avanzado (hasta 2000 sopladas)</t>
  </si>
  <si>
    <t>Volumen G</t>
  </si>
  <si>
    <t>Pro      (hasta 5000 sopladas)</t>
  </si>
  <si>
    <t>Corp.</t>
  </si>
  <si>
    <t>Ultra    (5000+ sopladas)</t>
  </si>
  <si>
    <t>Masivo</t>
  </si>
  <si>
    <t>📌  Plan 2 precio fijo = costo de sopladas incluidas / (1-margen). Plan 3 prepago = Plan 2 × 92% (8% descuento por pago anticipado). Ajuste los % a su criterio.</t>
  </si>
  <si>
    <t>C. TABLA DE VOLUMEN – PRECIO POR SOPLADA Y COSTO MENSUAL SEGÚN CONSUMO</t>
  </si>
  <si>
    <t>📌  4 rangos de consumo. La columna amarilla (Consumo ref.) es editable — cámbiela para ver el precio de cualquier volumen. Los 3 planes side-by-side para comparar.</t>
  </si>
  <si>
    <t>Rango de Sopladas / mes</t>
  </si>
  <si>
    <t>Consumo ref.</t>
  </si>
  <si>
    <t>PLAN 3: Prepago</t>
  </si>
  <si>
    <t>Sopladas</t>
  </si>
  <si>
    <t>Precio/soplada</t>
  </si>
  <si>
    <t>Total mes (COP)</t>
  </si>
  <si>
    <t>Margen (%)</t>
  </si>
  <si>
    <t>Plan aplicable</t>
  </si>
  <si>
    <t>Total mes fijo (COP)</t>
  </si>
  <si>
    <t>Ahorro vs P1 (COP)</t>
  </si>
  <si>
    <t>Total prepago (COP)</t>
  </si>
  <si>
    <t>Ahorro vs P1 (%)</t>
  </si>
  <si>
    <t>0 – 300</t>
  </si>
  <si>
    <t>Básico</t>
  </si>
  <si>
    <t>301 – 900</t>
  </si>
  <si>
    <t>901 – 2.000</t>
  </si>
  <si>
    <t>Avanzado</t>
  </si>
  <si>
    <t>2.001 – 4.000</t>
  </si>
  <si>
    <t>Pro</t>
  </si>
  <si>
    <t>💡  Columna B (amarilla) = sopladas de referencia. Cámbiela para simular cualquier consumo. El precio/soplada y el total mensual se recalculan solos.</t>
  </si>
  <si>
    <t>⚠️  Si el consumo supera el tope del Plan Fijo/Prepago, las sopladas extra se cobran al precio de col G (sección B). Plan Corporativo: sin tope de sopladas.</t>
  </si>
  <si>
    <t>COTIZADOR INTERACTIVO – Protegeme  |  Configure y calcule su propuesta</t>
  </si>
  <si>
    <t>ℹ️  Instrucciones: (1) Ingrese los datos del cliente en AZUL. (2) Active los módulos con 1=Sí / 0=No. (3) Seleccione el plan de alcoholemia. (4) El resumen y precio final se calculan automáticamente.</t>
  </si>
  <si>
    <t>A. DATOS DEL CLIENTE</t>
  </si>
  <si>
    <t>Campo</t>
  </si>
  <si>
    <t>Nombre empresa / cliente</t>
  </si>
  <si>
    <t>Empresa XYZ S.A.S.</t>
  </si>
  <si>
    <t>NIT</t>
  </si>
  <si>
    <t>900.000.000-0</t>
  </si>
  <si>
    <t>Sector transporte</t>
  </si>
  <si>
    <t>Carga / Pasajeros / Especial</t>
  </si>
  <si>
    <t>Ciudad</t>
  </si>
  <si>
    <t>Bogotá</t>
  </si>
  <si>
    <t>Contacto comercial</t>
  </si>
  <si>
    <t>Madeleine Andrade</t>
  </si>
  <si>
    <t>Fecha cotización</t>
  </si>
  <si>
    <t>31/03/2026</t>
  </si>
  <si>
    <t>Vigencia oferta (días)</t>
  </si>
  <si>
    <t>B. MÓDULOS A CONTRATAR  (1 = Incluir / 0 = No incluir)</t>
  </si>
  <si>
    <t>¿Incluir? (1/0)</t>
  </si>
  <si>
    <t>Cantidad</t>
  </si>
  <si>
    <t>Precio unitario (COP)</t>
  </si>
  <si>
    <t>Subtotal/mes (COP)</t>
  </si>
  <si>
    <t>SICOV – Alistamiento vehicular</t>
  </si>
  <si>
    <t>App Conductor – GPS + Hábitos + Seg. Vial</t>
  </si>
  <si>
    <t>Alcoholemia – Plan Pay-per-Use</t>
  </si>
  <si>
    <t>sopladas/mes</t>
  </si>
  <si>
    <t>Alcoholemia – Plan Fijo Mensual</t>
  </si>
  <si>
    <t>empresa</t>
  </si>
  <si>
    <t>Alcoholemia – Plan Prepago (desc. 8%)</t>
  </si>
  <si>
    <t>PESV Fase 1 – carga histórica formularios</t>
  </si>
  <si>
    <t>PESV Fase 2 – tiempo real Supertransporte</t>
  </si>
  <si>
    <t>⚠️  PESV Fase 2: ingrese el precio en E cuando esté disponible la integración API Supertransporte. Active con 1 cuando esté listo.</t>
  </si>
  <si>
    <t>C. ALCOHOLEMIA – DETALLE PLAN SELECCIONADO (solo si Plan Fijo o Prepago activo)</t>
  </si>
  <si>
    <t>📌  Configure el consumo esperado de sopladas para ver si el plan fijo conviene vs pay-per-use.</t>
  </si>
  <si>
    <t>Sopladas estimadas / mes</t>
  </si>
  <si>
    <t>Precio pay-per-use equivalente (COP/soplada)</t>
  </si>
  <si>
    <t>Costo estimado Pay-per-Use (COP/mes)</t>
  </si>
  <si>
    <t>Precio Plan Fijo Mensual aplicable (COP/mes)</t>
  </si>
  <si>
    <t>Precio Plan Prepago aplicable (COP/mes)</t>
  </si>
  <si>
    <t>AHORRO vs Pay-per-Use – Plan Fijo (COP)</t>
  </si>
  <si>
    <t>AHORRO vs Pay-per-Use – Plan Prepago (COP)</t>
  </si>
  <si>
    <t>✅ Plan más conveniente para este consumo</t>
  </si>
  <si>
    <t>D. DESCUENTO GLOBAL POR PAQUETE</t>
  </si>
  <si>
    <t>Criterio</t>
  </si>
  <si>
    <t>Módulos activos contratados</t>
  </si>
  <si>
    <t>Cuenta automáticamente los módulos con 1</t>
  </si>
  <si>
    <t>Descuento global por paquete (%)</t>
  </si>
  <si>
    <t>Ajuste según cantidad de módulos contratados</t>
  </si>
  <si>
    <t>💡  Sugerencia: 1 módulo = 0%, 2 módulos = 5%, 3 módulos = 10%, 4+ módulos = 15–20%.</t>
  </si>
  <si>
    <t>E. RESUMEN DE COTIZACIÓN</t>
  </si>
  <si>
    <t>CONCEPTO</t>
  </si>
  <si>
    <t>VALOR (COP/mes)</t>
  </si>
  <si>
    <t>Subtotal precio lista (sin descuento)</t>
  </si>
  <si>
    <t>Subtotal con descuentos por módulo</t>
  </si>
  <si>
    <t>PRECIO FINAL MENSUAL (COP/mes)</t>
  </si>
  <si>
    <t>PRECIO ANUAL (×12, sin ajuste inflación)</t>
  </si>
  <si>
    <t>Ahorro total vs precio lista (COP/mes)</t>
  </si>
  <si>
    <t>Descuento total efectivo (%)</t>
  </si>
  <si>
    <t>F. DATOS PARA COMPARTIR CON EL CLIENTE</t>
  </si>
  <si>
    <t>Empresa cliente</t>
  </si>
  <si>
    <t>Vigencia (días)</t>
  </si>
  <si>
    <t>Módulos contratados</t>
  </si>
  <si>
    <t>Precio final/mes (COP)</t>
  </si>
  <si>
    <t>Precio anual (COP)</t>
  </si>
  <si>
    <t>Descuento efectivo</t>
  </si>
  <si>
    <t>💡  Para enviar al cliente: copie esta hoja como 'Sólo valores' en un nuevo libro o exporte como PDF. Los datos del cliente (sección A) y el precio final (sección E) son los datos clave.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</si>
</sst>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0.0%"/>
  </numFmts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1F3864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2E74B5"/>
      <name val="Arial"/>
      <family val="2"/>
    </font>
    <font>
      <sz val="10"/>
      <color rgb="FF000000"/>
      <name val="Arial"/>
      <family val="2"/>
    </font>
    <font>
      <i/>
      <sz val="9"/>
      <color rgb="FF555555"/>
      <name val="Arial"/>
      <family val="2"/>
    </font>
    <font>
      <b/>
      <sz val="11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8000"/>
      <name val="Arial"/>
      <family val="2"/>
    </font>
    <font>
      <b/>
      <sz val="10"/>
      <color rgb="FF008000"/>
      <name val="Arial"/>
      <family val="2"/>
    </font>
    <font>
      <b/>
      <sz val="11"/>
      <color rgb="FF1F3864"/>
      <name val="Arial"/>
      <family val="2"/>
    </font>
    <font>
      <b/>
      <sz val="11"/>
      <color rgb="FF145A32"/>
      <name val="Arial"/>
      <family val="2"/>
    </font>
    <font>
      <b/>
      <sz val="10"/>
      <color rgb="FF145A32"/>
      <name val="Arial"/>
      <family val="2"/>
    </font>
    <font>
      <b/>
      <sz val="11"/>
      <color rgb="FF922B21"/>
      <name val="Arial"/>
      <family val="2"/>
    </font>
    <font>
      <b/>
      <sz val="10"/>
      <color rgb="FF922B21"/>
      <name val="Arial"/>
      <family val="2"/>
    </font>
    <font>
      <b/>
      <sz val="10"/>
      <color rgb="FF00695C"/>
      <name val="Arial"/>
      <family val="2"/>
    </font>
    <font>
      <sz val="10"/>
      <color rgb="FF333333"/>
      <name val="Arial"/>
      <family val="2"/>
    </font>
    <font>
      <b/>
      <sz val="10"/>
      <color rgb="FF1A5276"/>
      <name val="Arial"/>
      <family val="2"/>
    </font>
    <font>
      <b/>
      <sz val="10"/>
      <color rgb="FF6C3483"/>
      <name val="Arial"/>
      <family val="2"/>
    </font>
    <font>
      <b/>
      <sz val="10"/>
      <color rgb="FF7F6000"/>
      <name val="Arial"/>
      <family val="2"/>
    </font>
    <font>
      <sz val="10"/>
      <color rgb="FF922B21"/>
      <name val="Arial"/>
      <family val="2"/>
    </font>
    <font>
      <sz val="10"/>
      <color rgb="FF145A32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555555"/>
      <name val="Arial"/>
      <family val="2"/>
    </font>
    <font>
      <sz val="9"/>
      <color rgb="FF333333"/>
      <name val="Arial"/>
      <family val="2"/>
    </font>
    <font>
      <sz val="9"/>
      <color rgb="FFAAAAAA"/>
      <name val="Arial"/>
      <family val="2"/>
    </font>
    <font>
      <b/>
      <sz val="12"/>
      <color rgb="FFFFFFFF"/>
      <name val="Arial"/>
      <family val="2"/>
    </font>
    <font>
      <i/>
      <sz val="10"/>
      <color rgb="FF7F6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rgb="FF555555"/>
      <name val="Arial"/>
      <family val="2"/>
    </font>
    <font>
      <sz val="10"/>
      <color rgb="FF008000"/>
      <name val="Arial"/>
      <family val="2"/>
    </font>
    <font>
      <sz val="10"/>
      <color rgb="FF7F6000"/>
      <name val="Arial"/>
      <family val="2"/>
    </font>
    <font>
      <i/>
      <sz val="10"/>
      <color rgb="FF922B21"/>
      <name val="Arial"/>
      <family val="2"/>
    </font>
    <font>
      <b/>
      <sz val="13"/>
      <color rgb="FFFFFFFF"/>
      <name val="Arial"/>
      <family val="2"/>
    </font>
    <font>
      <i/>
      <sz val="10"/>
      <color rgb="FF888888"/>
      <name val="Arial"/>
      <family val="2"/>
    </font>
    <font>
      <i/>
      <sz val="10"/>
      <color rgb="FF00695C"/>
      <name val="Arial"/>
      <family val="2"/>
    </font>
    <font>
      <b/>
      <sz val="9"/>
      <color rgb="FF1A5276"/>
      <name val="Arial"/>
      <family val="2"/>
    </font>
    <font>
      <b/>
      <sz val="9"/>
      <color rgb="FF145A32"/>
      <name val="Arial"/>
      <family val="2"/>
    </font>
    <font>
      <b/>
      <sz val="9"/>
      <color rgb="FF6C3483"/>
      <name val="Arial"/>
      <family val="2"/>
    </font>
    <font>
      <sz val="10"/>
      <color rgb="FF6C3483"/>
      <name val="Arial"/>
      <family val="2"/>
    </font>
    <font>
      <b/>
      <sz val="9"/>
      <color rgb="FF000000"/>
      <name val="Arial"/>
      <family val="2"/>
    </font>
    <font>
      <sz val="10"/>
      <color rgb="FF1A5276"/>
      <name val="Arial"/>
      <family val="2"/>
    </font>
    <font>
      <sz val="10"/>
      <color rgb="FF00695C"/>
      <name val="Arial"/>
      <family val="2"/>
    </font>
    <font>
      <b/>
      <sz val="12"/>
      <color rgb="FF1A527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6EAF8"/>
      </patternFill>
    </fill>
    <fill>
      <patternFill patternType="solid">
        <fgColor rgb="FFF0F4F8"/>
        <bgColor rgb="FFEBF4FA"/>
      </patternFill>
    </fill>
    <fill>
      <patternFill patternType="solid">
        <fgColor rgb="FF2E74B5"/>
        <bgColor rgb="FF2874A6"/>
      </patternFill>
    </fill>
    <fill>
      <patternFill patternType="solid">
        <fgColor rgb="FFEBF4FA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FFFF00"/>
        <bgColor rgb="FFFFF3CD"/>
      </patternFill>
    </fill>
    <fill>
      <patternFill patternType="solid">
        <fgColor rgb="FFE8F5E9"/>
        <bgColor rgb="FFEAFAF1"/>
      </patternFill>
    </fill>
    <fill>
      <patternFill patternType="solid">
        <fgColor rgb="FFFFEBEE"/>
        <bgColor rgb="FFF5EEF8"/>
      </patternFill>
    </fill>
    <fill>
      <patternFill patternType="solid">
        <fgColor rgb="FFE0F7FA"/>
        <bgColor rgb="FFEBF5FB"/>
      </patternFill>
    </fill>
    <fill>
      <patternFill patternType="solid">
        <fgColor rgb="FFFAFAFA"/>
        <bgColor rgb="FFFFFFFF"/>
      </patternFill>
    </fill>
    <fill>
      <patternFill patternType="solid">
        <fgColor rgb="FFF3E5F5"/>
        <bgColor rgb="FFF5EEF8"/>
      </patternFill>
    </fill>
    <fill>
      <patternFill patternType="solid">
        <fgColor rgb="FFFFF3CD"/>
        <bgColor rgb="FFFFEBEE"/>
      </patternFill>
    </fill>
    <fill>
      <patternFill patternType="solid">
        <fgColor rgb="FF922B21"/>
        <bgColor rgb="FFC0392B"/>
      </patternFill>
    </fill>
    <fill>
      <patternFill patternType="solid">
        <fgColor rgb="FF2471A3"/>
        <bgColor rgb="FF2874A6"/>
      </patternFill>
    </fill>
    <fill>
      <patternFill patternType="solid">
        <fgColor rgb="FF1E8449"/>
        <bgColor rgb="FF00695C"/>
      </patternFill>
    </fill>
    <fill>
      <patternFill patternType="solid">
        <fgColor rgb="FF7B2D8B"/>
        <bgColor rgb="FF6C3483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7FA"/>
      </patternFill>
    </fill>
    <fill>
      <patternFill patternType="solid">
        <fgColor rgb="FFE8DAEF"/>
        <bgColor rgb="FFF3E5F5"/>
      </patternFill>
    </fill>
    <fill>
      <patternFill patternType="solid">
        <fgColor rgb="FFEBF5FB"/>
        <bgColor rgb="FFEBF4FA"/>
      </patternFill>
    </fill>
    <fill>
      <patternFill patternType="solid">
        <fgColor rgb="FFEAFAF1"/>
        <bgColor rgb="FFE8F5E9"/>
      </patternFill>
    </fill>
    <fill>
      <patternFill patternType="solid">
        <fgColor rgb="FFF5EEF8"/>
        <bgColor rgb="FFF0F4F8"/>
      </patternFill>
    </fill>
    <fill>
      <patternFill patternType="solid">
        <fgColor rgb="FFFFE0E0"/>
        <bgColor rgb="FFFFEBEE"/>
      </patternFill>
    </fill>
    <fill>
      <patternFill patternType="solid">
        <fgColor rgb="FF145A32"/>
        <bgColor rgb="FF00695C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4" borderId="2" xfId="0" applyFont="1" applyFill="1" applyBorder="1"/>
    <xf numFmtId="0" fontId="0" fillId="4" borderId="2" xfId="0" applyFill="1" applyBorder="1"/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left" vertical="center" wrapText="1"/>
    </xf>
    <xf numFmtId="0" fontId="29" fillId="6" borderId="2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left" vertical="center" wrapText="1"/>
    </xf>
    <xf numFmtId="0" fontId="29" fillId="7" borderId="2" xfId="0" applyFont="1" applyFill="1" applyBorder="1" applyAlignment="1">
      <alignment horizontal="left" vertical="center" wrapText="1"/>
    </xf>
    <xf numFmtId="0" fontId="30" fillId="7" borderId="2" xfId="0" applyFont="1" applyFill="1" applyBorder="1" applyAlignment="1">
      <alignment horizontal="lef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35" fillId="8" borderId="2" xfId="0" applyNumberFormat="1" applyFont="1" applyFill="1" applyBorder="1" applyAlignment="1">
      <alignment horizontal="right" vertical="center" wrapText="1"/>
    </xf>
    <xf numFmtId="0" fontId="0" fillId="0" borderId="2" xfId="0" applyBorder="1"/>
    <xf numFmtId="0" fontId="7" fillId="6" borderId="2" xfId="0" applyFont="1" applyFill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164" fontId="12" fillId="3" borderId="2" xfId="0" applyNumberFormat="1" applyFont="1" applyFill="1" applyBorder="1" applyAlignment="1">
      <alignment horizontal="right" vertical="center" wrapText="1"/>
    </xf>
    <xf numFmtId="0" fontId="12" fillId="9" borderId="2" xfId="0" applyFont="1" applyFill="1" applyBorder="1" applyAlignment="1">
      <alignment horizontal="left" vertical="center" wrapText="1"/>
    </xf>
    <xf numFmtId="164" fontId="22" fillId="9" borderId="2" xfId="0" applyNumberFormat="1" applyFont="1" applyFill="1" applyBorder="1" applyAlignment="1">
      <alignment horizontal="right" vertical="center" wrapText="1"/>
    </xf>
    <xf numFmtId="0" fontId="0" fillId="9" borderId="2" xfId="0" applyFill="1" applyBorder="1"/>
    <xf numFmtId="0" fontId="7" fillId="9" borderId="2" xfId="0" applyFont="1" applyFill="1" applyBorder="1" applyAlignment="1">
      <alignment horizontal="left" vertical="center" wrapText="1"/>
    </xf>
    <xf numFmtId="164" fontId="7" fillId="6" borderId="2" xfId="0" applyNumberFormat="1" applyFont="1" applyFill="1" applyBorder="1" applyAlignment="1">
      <alignment horizontal="right" vertical="center" wrapText="1"/>
    </xf>
    <xf numFmtId="0" fontId="36" fillId="0" borderId="2" xfId="0" applyFont="1" applyBorder="1" applyAlignment="1">
      <alignment horizontal="left" vertical="center" wrapText="1"/>
    </xf>
    <xf numFmtId="164" fontId="37" fillId="0" borderId="2" xfId="0" applyNumberFormat="1" applyFont="1" applyBorder="1" applyAlignment="1">
      <alignment horizontal="right" vertical="center" wrapText="1"/>
    </xf>
    <xf numFmtId="165" fontId="22" fillId="9" borderId="2" xfId="0" applyNumberFormat="1" applyFont="1" applyFill="1" applyBorder="1" applyAlignment="1">
      <alignment horizontal="right" vertical="center" wrapText="1"/>
    </xf>
    <xf numFmtId="165" fontId="35" fillId="8" borderId="2" xfId="0" applyNumberFormat="1" applyFont="1" applyFill="1" applyBorder="1" applyAlignment="1">
      <alignment horizontal="right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64" fontId="24" fillId="14" borderId="2" xfId="0" applyNumberFormat="1" applyFont="1" applyFill="1" applyBorder="1" applyAlignment="1">
      <alignment horizontal="right" vertical="center" wrapText="1"/>
    </xf>
    <xf numFmtId="0" fontId="7" fillId="14" borderId="2" xfId="0" applyFont="1" applyFill="1" applyBorder="1" applyAlignment="1">
      <alignment horizontal="left" vertical="center" wrapText="1"/>
    </xf>
    <xf numFmtId="164" fontId="38" fillId="14" borderId="2" xfId="0" applyNumberFormat="1" applyFont="1" applyFill="1" applyBorder="1" applyAlignment="1">
      <alignment horizontal="right" vertical="center" wrapText="1"/>
    </xf>
    <xf numFmtId="0" fontId="0" fillId="14" borderId="2" xfId="0" applyFill="1" applyBorder="1"/>
    <xf numFmtId="0" fontId="12" fillId="0" borderId="2" xfId="0" applyFont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164" fontId="19" fillId="10" borderId="2" xfId="0" applyNumberFormat="1" applyFont="1" applyFill="1" applyBorder="1" applyAlignment="1">
      <alignment horizontal="right" vertical="center" wrapText="1"/>
    </xf>
    <xf numFmtId="0" fontId="0" fillId="10" borderId="2" xfId="0" applyFill="1" applyBorder="1"/>
    <xf numFmtId="164" fontId="14" fillId="0" borderId="2" xfId="0" applyNumberFormat="1" applyFont="1" applyBorder="1" applyAlignment="1">
      <alignment horizontal="right" vertical="center" wrapText="1"/>
    </xf>
    <xf numFmtId="164" fontId="41" fillId="0" borderId="2" xfId="0" applyNumberFormat="1" applyFont="1" applyBorder="1" applyAlignment="1">
      <alignment horizontal="left" vertical="center" wrapText="1"/>
    </xf>
    <xf numFmtId="165" fontId="22" fillId="6" borderId="2" xfId="0" applyNumberFormat="1" applyFont="1" applyFill="1" applyBorder="1" applyAlignment="1">
      <alignment horizontal="right" vertical="center" wrapText="1"/>
    </xf>
    <xf numFmtId="165" fontId="37" fillId="0" borderId="2" xfId="0" applyNumberFormat="1" applyFont="1" applyBorder="1" applyAlignment="1">
      <alignment horizontal="righ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12" fillId="6" borderId="2" xfId="0" applyFont="1" applyFill="1" applyBorder="1" applyAlignment="1">
      <alignment horizontal="center" vertical="center" wrapText="1"/>
    </xf>
    <xf numFmtId="0" fontId="43" fillId="19" borderId="2" xfId="0" applyFont="1" applyFill="1" applyBorder="1" applyAlignment="1">
      <alignment horizontal="center" vertical="center" wrapText="1"/>
    </xf>
    <xf numFmtId="0" fontId="44" fillId="20" borderId="2" xfId="0" applyFont="1" applyFill="1" applyBorder="1" applyAlignment="1">
      <alignment horizontal="center" vertical="center" wrapText="1"/>
    </xf>
    <xf numFmtId="0" fontId="45" fillId="21" borderId="2" xfId="0" applyFont="1" applyFill="1" applyBorder="1" applyAlignment="1">
      <alignment horizontal="center" vertical="center" wrapText="1"/>
    </xf>
    <xf numFmtId="164" fontId="17" fillId="20" borderId="2" xfId="0" applyNumberFormat="1" applyFont="1" applyFill="1" applyBorder="1" applyAlignment="1">
      <alignment horizontal="right" vertical="center" wrapText="1"/>
    </xf>
    <xf numFmtId="164" fontId="23" fillId="21" borderId="2" xfId="0" applyNumberFormat="1" applyFont="1" applyFill="1" applyBorder="1" applyAlignment="1">
      <alignment horizontal="right" vertical="center" wrapText="1"/>
    </xf>
    <xf numFmtId="165" fontId="46" fillId="21" borderId="2" xfId="0" applyNumberFormat="1" applyFont="1" applyFill="1" applyBorder="1" applyAlignment="1">
      <alignment horizontal="righ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164" fontId="48" fillId="22" borderId="2" xfId="0" applyNumberFormat="1" applyFont="1" applyFill="1" applyBorder="1" applyAlignment="1">
      <alignment horizontal="right" vertical="center" wrapText="1"/>
    </xf>
    <xf numFmtId="164" fontId="22" fillId="22" borderId="2" xfId="0" applyNumberFormat="1" applyFont="1" applyFill="1" applyBorder="1" applyAlignment="1">
      <alignment horizontal="right" vertical="center" wrapText="1"/>
    </xf>
    <xf numFmtId="165" fontId="48" fillId="22" borderId="2" xfId="0" applyNumberFormat="1" applyFont="1" applyFill="1" applyBorder="1" applyAlignment="1">
      <alignment horizontal="right" vertical="center" wrapText="1"/>
    </xf>
    <xf numFmtId="0" fontId="26" fillId="23" borderId="2" xfId="0" applyFont="1" applyFill="1" applyBorder="1" applyAlignment="1">
      <alignment horizontal="left" vertical="center" wrapText="1"/>
    </xf>
    <xf numFmtId="164" fontId="17" fillId="23" borderId="2" xfId="0" applyNumberFormat="1" applyFont="1" applyFill="1" applyBorder="1" applyAlignment="1">
      <alignment horizontal="right" vertical="center" wrapText="1"/>
    </xf>
    <xf numFmtId="164" fontId="26" fillId="23" borderId="2" xfId="0" applyNumberFormat="1" applyFont="1" applyFill="1" applyBorder="1" applyAlignment="1">
      <alignment horizontal="right" vertical="center" wrapText="1"/>
    </xf>
    <xf numFmtId="164" fontId="23" fillId="24" borderId="2" xfId="0" applyNumberFormat="1" applyFont="1" applyFill="1" applyBorder="1" applyAlignment="1">
      <alignment horizontal="right" vertical="center" wrapText="1"/>
    </xf>
    <xf numFmtId="165" fontId="46" fillId="24" borderId="2" xfId="0" applyNumberFormat="1" applyFont="1" applyFill="1" applyBorder="1" applyAlignment="1">
      <alignment horizontal="right" vertical="center" wrapText="1"/>
    </xf>
    <xf numFmtId="0" fontId="33" fillId="0" borderId="2" xfId="0" applyFont="1" applyBorder="1" applyAlignment="1">
      <alignment horizontal="left" vertical="center" wrapText="1"/>
    </xf>
    <xf numFmtId="0" fontId="39" fillId="0" borderId="2" xfId="0" applyFont="1" applyBorder="1" applyAlignment="1">
      <alignment horizontal="left" vertical="center" wrapText="1"/>
    </xf>
    <xf numFmtId="0" fontId="35" fillId="8" borderId="2" xfId="0" applyFont="1" applyFill="1" applyBorder="1" applyAlignment="1">
      <alignment horizontal="left" vertical="center" wrapText="1"/>
    </xf>
    <xf numFmtId="164" fontId="35" fillId="25" borderId="2" xfId="0" applyNumberFormat="1" applyFont="1" applyFill="1" applyBorder="1" applyAlignment="1">
      <alignment horizontal="right" vertical="center" wrapText="1"/>
    </xf>
    <xf numFmtId="164" fontId="49" fillId="11" borderId="2" xfId="0" applyNumberFormat="1" applyFont="1" applyFill="1" applyBorder="1" applyAlignment="1">
      <alignment horizontal="right" vertical="center" wrapText="1"/>
    </xf>
    <xf numFmtId="49" fontId="22" fillId="9" borderId="2" xfId="0" applyNumberFormat="1" applyFont="1" applyFill="1" applyBorder="1" applyAlignment="1">
      <alignment horizontal="right" vertical="center" wrapText="1"/>
    </xf>
    <xf numFmtId="0" fontId="34" fillId="17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righ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33" fillId="14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left" vertical="center" wrapText="1"/>
    </xf>
    <xf numFmtId="0" fontId="39" fillId="10" borderId="0" xfId="0" applyFont="1" applyFill="1" applyAlignment="1">
      <alignment horizontal="left" vertical="center" wrapText="1"/>
    </xf>
    <xf numFmtId="0" fontId="42" fillId="11" borderId="0" xfId="0" applyFont="1" applyFill="1" applyAlignment="1">
      <alignment horizontal="left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7" fillId="16" borderId="2" xfId="0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164" fontId="20" fillId="11" borderId="2" xfId="0" applyNumberFormat="1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165" fontId="6" fillId="6" borderId="2" xfId="0" applyNumberFormat="1" applyFont="1" applyFill="1" applyBorder="1" applyAlignment="1">
      <alignment horizontal="right" vertical="center" wrapText="1"/>
    </xf>
    <xf numFmtId="0" fontId="34" fillId="26" borderId="1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164" fontId="25" fillId="10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50" fillId="9" borderId="2" xfId="0" applyNumberFormat="1" applyFont="1" applyFill="1" applyBorder="1" applyAlignment="1">
      <alignment horizontal="right" vertical="center" wrapText="1"/>
    </xf>
    <xf numFmtId="0" fontId="34" fillId="2" borderId="2" xfId="0" applyFont="1" applyFill="1" applyBorder="1" applyAlignment="1">
      <alignment horizontal="left" vertical="center" wrapText="1"/>
    </xf>
    <xf numFmtId="164" fontId="22" fillId="9" borderId="2" xfId="0" applyNumberFormat="1" applyFont="1" applyFill="1" applyBorder="1" applyAlignment="1">
      <alignment horizontal="right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64" fontId="12" fillId="3" borderId="2" xfId="0" applyNumberFormat="1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EBF5FB"/>
      <rgbColor rgb="FF800000"/>
      <rgbColor rgb="FF008000"/>
      <rgbColor rgb="FF000080"/>
      <rgbColor rgb="FF7F6000"/>
      <rgbColor rgb="FF800080"/>
      <rgbColor rgb="FF00695C"/>
      <rgbColor rgb="FFBFBFBF"/>
      <rgbColor rgb="FF888888"/>
      <rgbColor rgb="FFAAAAAA"/>
      <rgbColor rgb="FF7B2D8B"/>
      <rgbColor rgb="FFFFF3CD"/>
      <rgbColor rgb="FFE0F7FA"/>
      <rgbColor rgb="FF660066"/>
      <rgbColor rgb="FFF0F4F8"/>
      <rgbColor rgb="FF2471A3"/>
      <rgbColor rgb="FFE8DAEF"/>
      <rgbColor rgb="FF000080"/>
      <rgbColor rgb="FFFF00FF"/>
      <rgbColor rgb="FFFFEBEE"/>
      <rgbColor rgb="FFFAFAFA"/>
      <rgbColor rgb="FF800080"/>
      <rgbColor rgb="FF800000"/>
      <rgbColor rgb="FF2874A6"/>
      <rgbColor rgb="FF0000FF"/>
      <rgbColor rgb="FF00CCFF"/>
      <rgbColor rgb="FFD6EAF8"/>
      <rgbColor rgb="FFD5F5E3"/>
      <rgbColor rgb="FFE8F5E9"/>
      <rgbColor rgb="FFD6E4F0"/>
      <rgbColor rgb="FFF3E5F5"/>
      <rgbColor rgb="FFF5EEF8"/>
      <rgbColor rgb="FFFFE0E0"/>
      <rgbColor rgb="FF2E74B5"/>
      <rgbColor rgb="FF1ABC9C"/>
      <rgbColor rgb="FFEBF4FA"/>
      <rgbColor rgb="FFEAFAF1"/>
      <rgbColor rgb="FFF39C12"/>
      <rgbColor rgb="FFD35400"/>
      <rgbColor rgb="FF555555"/>
      <rgbColor rgb="FF7F8C8D"/>
      <rgbColor rgb="FF1F3864"/>
      <rgbColor rgb="FF1E8449"/>
      <rgbColor rgb="FF145A32"/>
      <rgbColor rgb="FF333300"/>
      <rgbColor rgb="FF922B21"/>
      <rgbColor rgb="FF6C3483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72"/>
  <sheetViews>
    <sheetView showGridLines="0" zoomScaleNormal="100" workbookViewId="0">
      <selection sqref="A1:C1"/>
    </sheetView>
  </sheetViews>
  <sheetFormatPr baseColWidth="10" defaultColWidth="8.6640625" defaultRowHeight="15" x14ac:dyDescent="0.2"/>
  <cols>
    <col min="1" max="1" width="10.1640625" customWidth="1"/>
    <col min="2" max="2" width="51.5" bestFit="1" customWidth="1"/>
    <col min="3" max="3" width="42.1640625" bestFit="1" customWidth="1"/>
  </cols>
  <sheetData>
    <row r="1" spans="1:3" ht="18" x14ac:dyDescent="0.2">
      <c r="A1" s="102" t="s">
        <v>0</v>
      </c>
      <c r="B1" s="102"/>
      <c r="C1" s="102"/>
    </row>
    <row r="2" spans="1:3" x14ac:dyDescent="0.2">
      <c r="A2" s="103" t="s">
        <v>1</v>
      </c>
      <c r="B2" s="103"/>
      <c r="C2" s="103"/>
    </row>
    <row r="3" spans="1:3" x14ac:dyDescent="0.2">
      <c r="A3" s="1"/>
      <c r="B3" s="1"/>
      <c r="C3" s="2"/>
    </row>
    <row r="4" spans="1:3" x14ac:dyDescent="0.2">
      <c r="A4" s="91" t="s">
        <v>2</v>
      </c>
      <c r="B4" s="91"/>
      <c r="C4" s="91"/>
    </row>
    <row r="5" spans="1:3" x14ac:dyDescent="0.2">
      <c r="A5" s="96" t="s">
        <v>3</v>
      </c>
      <c r="B5" s="96"/>
      <c r="C5" s="96"/>
    </row>
    <row r="6" spans="1:3" ht="42" x14ac:dyDescent="0.2">
      <c r="A6" s="3" t="s">
        <v>4</v>
      </c>
      <c r="B6" s="4" t="s">
        <v>5</v>
      </c>
      <c r="C6" s="5" t="s">
        <v>6</v>
      </c>
    </row>
    <row r="7" spans="1:3" ht="42" x14ac:dyDescent="0.2">
      <c r="A7" s="3" t="s">
        <v>7</v>
      </c>
      <c r="B7" s="4" t="s">
        <v>8</v>
      </c>
      <c r="C7" s="5" t="s">
        <v>9</v>
      </c>
    </row>
    <row r="8" spans="1:3" ht="42" x14ac:dyDescent="0.2">
      <c r="A8" s="3" t="s">
        <v>10</v>
      </c>
      <c r="B8" s="4" t="s">
        <v>11</v>
      </c>
      <c r="C8" s="5" t="s">
        <v>12</v>
      </c>
    </row>
    <row r="9" spans="1:3" x14ac:dyDescent="0.2">
      <c r="A9" s="1"/>
      <c r="B9" s="1"/>
      <c r="C9" s="2"/>
    </row>
    <row r="10" spans="1:3" x14ac:dyDescent="0.2">
      <c r="A10" s="91" t="s">
        <v>13</v>
      </c>
      <c r="B10" s="91"/>
      <c r="C10" s="91"/>
    </row>
    <row r="11" spans="1:3" ht="28" x14ac:dyDescent="0.2">
      <c r="A11" s="6" t="s">
        <v>14</v>
      </c>
      <c r="B11" s="7" t="s">
        <v>15</v>
      </c>
      <c r="C11" s="8" t="s">
        <v>16</v>
      </c>
    </row>
    <row r="12" spans="1:3" ht="28" x14ac:dyDescent="0.2">
      <c r="A12" s="9" t="s">
        <v>17</v>
      </c>
      <c r="B12" s="10" t="s">
        <v>18</v>
      </c>
      <c r="C12" s="5" t="s">
        <v>19</v>
      </c>
    </row>
    <row r="13" spans="1:3" x14ac:dyDescent="0.2">
      <c r="A13" s="11" t="s">
        <v>20</v>
      </c>
      <c r="B13" s="12" t="s">
        <v>21</v>
      </c>
      <c r="C13" s="5" t="s">
        <v>22</v>
      </c>
    </row>
    <row r="14" spans="1:3" x14ac:dyDescent="0.2">
      <c r="A14" s="13" t="s">
        <v>23</v>
      </c>
      <c r="B14" s="14" t="s">
        <v>24</v>
      </c>
      <c r="C14" s="15" t="s">
        <v>25</v>
      </c>
    </row>
    <row r="15" spans="1:3" ht="28" x14ac:dyDescent="0.2">
      <c r="A15" s="16" t="s">
        <v>26</v>
      </c>
      <c r="B15" s="17" t="s">
        <v>27</v>
      </c>
      <c r="C15" s="18" t="s">
        <v>28</v>
      </c>
    </row>
    <row r="16" spans="1:3" ht="26" x14ac:dyDescent="0.2">
      <c r="A16" s="19" t="s">
        <v>29</v>
      </c>
      <c r="B16" s="20" t="s">
        <v>30</v>
      </c>
      <c r="C16" s="21" t="s">
        <v>31</v>
      </c>
    </row>
    <row r="17" spans="1:3" x14ac:dyDescent="0.2">
      <c r="A17" s="1"/>
      <c r="B17" s="1"/>
      <c r="C17" s="2"/>
    </row>
    <row r="18" spans="1:3" x14ac:dyDescent="0.2">
      <c r="A18" s="91" t="s">
        <v>32</v>
      </c>
      <c r="B18" s="91"/>
      <c r="C18" s="91"/>
    </row>
    <row r="19" spans="1:3" x14ac:dyDescent="0.2">
      <c r="A19" s="101" t="s">
        <v>33</v>
      </c>
      <c r="B19" s="101"/>
      <c r="C19" s="101"/>
    </row>
    <row r="20" spans="1:3" ht="40" customHeight="1" x14ac:dyDescent="0.2">
      <c r="A20" s="95" t="s">
        <v>34</v>
      </c>
      <c r="B20" s="95"/>
      <c r="C20" s="95"/>
    </row>
    <row r="21" spans="1:3" x14ac:dyDescent="0.2">
      <c r="A21" s="97" t="s">
        <v>35</v>
      </c>
      <c r="B21" s="97"/>
      <c r="C21" s="97"/>
    </row>
    <row r="22" spans="1:3" ht="40" customHeight="1" x14ac:dyDescent="0.2">
      <c r="A22" s="95" t="s">
        <v>36</v>
      </c>
      <c r="B22" s="95"/>
      <c r="C22" s="95"/>
    </row>
    <row r="23" spans="1:3" x14ac:dyDescent="0.2">
      <c r="A23" s="98" t="s">
        <v>37</v>
      </c>
      <c r="B23" s="98"/>
      <c r="C23" s="98"/>
    </row>
    <row r="24" spans="1:3" ht="37" customHeight="1" x14ac:dyDescent="0.2">
      <c r="A24" s="95" t="s">
        <v>38</v>
      </c>
      <c r="B24" s="95"/>
      <c r="C24" s="95"/>
    </row>
    <row r="25" spans="1:3" ht="32" customHeight="1" x14ac:dyDescent="0.2">
      <c r="A25" s="99" t="s">
        <v>39</v>
      </c>
      <c r="B25" s="99"/>
      <c r="C25" s="99"/>
    </row>
    <row r="26" spans="1:3" ht="39" customHeight="1" x14ac:dyDescent="0.2">
      <c r="A26" s="95" t="s">
        <v>40</v>
      </c>
      <c r="B26" s="95"/>
      <c r="C26" s="95"/>
    </row>
    <row r="27" spans="1:3" x14ac:dyDescent="0.2">
      <c r="A27" s="100" t="s">
        <v>41</v>
      </c>
      <c r="B27" s="100"/>
      <c r="C27" s="100"/>
    </row>
    <row r="28" spans="1:3" ht="40" customHeight="1" x14ac:dyDescent="0.2">
      <c r="A28" s="95" t="s">
        <v>42</v>
      </c>
      <c r="B28" s="95"/>
      <c r="C28" s="95"/>
    </row>
    <row r="29" spans="1:3" ht="19" customHeight="1" x14ac:dyDescent="0.2">
      <c r="A29" s="97" t="s">
        <v>43</v>
      </c>
      <c r="B29" s="97"/>
      <c r="C29" s="97"/>
    </row>
    <row r="30" spans="1:3" ht="44" customHeight="1" x14ac:dyDescent="0.2">
      <c r="A30" s="95" t="s">
        <v>44</v>
      </c>
      <c r="B30" s="95"/>
      <c r="C30" s="95"/>
    </row>
    <row r="31" spans="1:3" x14ac:dyDescent="0.2">
      <c r="A31" s="2"/>
      <c r="B31" s="2"/>
      <c r="C31" s="2"/>
    </row>
    <row r="32" spans="1:3" x14ac:dyDescent="0.2">
      <c r="A32" s="91" t="s">
        <v>45</v>
      </c>
      <c r="B32" s="91"/>
      <c r="C32" s="91"/>
    </row>
    <row r="33" spans="1:3" x14ac:dyDescent="0.2">
      <c r="A33" s="96" t="s">
        <v>46</v>
      </c>
      <c r="B33" s="96"/>
      <c r="C33" s="96"/>
    </row>
    <row r="34" spans="1:3" x14ac:dyDescent="0.2">
      <c r="A34" s="95" t="s">
        <v>47</v>
      </c>
      <c r="B34" s="95"/>
      <c r="C34" s="95"/>
    </row>
    <row r="35" spans="1:3" x14ac:dyDescent="0.2">
      <c r="A35" s="96" t="s">
        <v>48</v>
      </c>
      <c r="B35" s="96"/>
      <c r="C35" s="96"/>
    </row>
    <row r="36" spans="1:3" x14ac:dyDescent="0.2">
      <c r="A36" s="95" t="s">
        <v>49</v>
      </c>
      <c r="B36" s="95"/>
      <c r="C36" s="95"/>
    </row>
    <row r="37" spans="1:3" x14ac:dyDescent="0.2">
      <c r="A37" s="96" t="s">
        <v>50</v>
      </c>
      <c r="B37" s="96"/>
      <c r="C37" s="96"/>
    </row>
    <row r="38" spans="1:3" x14ac:dyDescent="0.2">
      <c r="A38" s="95" t="s">
        <v>51</v>
      </c>
      <c r="B38" s="95"/>
      <c r="C38" s="95"/>
    </row>
    <row r="39" spans="1:3" x14ac:dyDescent="0.2">
      <c r="A39" s="96" t="s">
        <v>52</v>
      </c>
      <c r="B39" s="96"/>
      <c r="C39" s="96"/>
    </row>
    <row r="40" spans="1:3" x14ac:dyDescent="0.2">
      <c r="A40" s="95" t="s">
        <v>53</v>
      </c>
      <c r="B40" s="95"/>
      <c r="C40" s="95"/>
    </row>
    <row r="41" spans="1:3" x14ac:dyDescent="0.2">
      <c r="A41" s="96" t="s">
        <v>54</v>
      </c>
      <c r="B41" s="96"/>
      <c r="C41" s="96"/>
    </row>
    <row r="42" spans="1:3" x14ac:dyDescent="0.2">
      <c r="A42" s="95" t="s">
        <v>55</v>
      </c>
      <c r="B42" s="95"/>
      <c r="C42" s="95"/>
    </row>
    <row r="43" spans="1:3" x14ac:dyDescent="0.2">
      <c r="A43" s="96" t="s">
        <v>56</v>
      </c>
      <c r="B43" s="96"/>
      <c r="C43" s="96"/>
    </row>
    <row r="44" spans="1:3" x14ac:dyDescent="0.2">
      <c r="A44" s="95" t="s">
        <v>57</v>
      </c>
      <c r="B44" s="95"/>
      <c r="C44" s="95"/>
    </row>
    <row r="45" spans="1:3" x14ac:dyDescent="0.2">
      <c r="A45" s="96" t="s">
        <v>58</v>
      </c>
      <c r="B45" s="96"/>
      <c r="C45" s="96"/>
    </row>
    <row r="46" spans="1:3" x14ac:dyDescent="0.2">
      <c r="A46" s="95" t="s">
        <v>59</v>
      </c>
      <c r="B46" s="95"/>
      <c r="C46" s="95"/>
    </row>
    <row r="47" spans="1:3" x14ac:dyDescent="0.2">
      <c r="A47" s="96" t="s">
        <v>60</v>
      </c>
      <c r="B47" s="96"/>
      <c r="C47" s="96"/>
    </row>
    <row r="48" spans="1:3" x14ac:dyDescent="0.2">
      <c r="A48" s="95" t="s">
        <v>61</v>
      </c>
      <c r="B48" s="95"/>
      <c r="C48" s="95"/>
    </row>
    <row r="49" spans="1:3" x14ac:dyDescent="0.2">
      <c r="A49" s="2"/>
      <c r="B49" s="2"/>
      <c r="C49" s="2"/>
    </row>
    <row r="50" spans="1:3" x14ac:dyDescent="0.2">
      <c r="A50" s="93" t="s">
        <v>62</v>
      </c>
      <c r="B50" s="93"/>
      <c r="C50" s="93"/>
    </row>
    <row r="51" spans="1:3" ht="29" customHeight="1" x14ac:dyDescent="0.2">
      <c r="A51" s="94" t="s">
        <v>63</v>
      </c>
      <c r="B51" s="94"/>
      <c r="C51" s="94"/>
    </row>
    <row r="52" spans="1:3" x14ac:dyDescent="0.2">
      <c r="A52" s="94" t="s">
        <v>64</v>
      </c>
      <c r="B52" s="94"/>
      <c r="C52" s="94"/>
    </row>
    <row r="53" spans="1:3" x14ac:dyDescent="0.2">
      <c r="A53" s="94" t="s">
        <v>65</v>
      </c>
      <c r="B53" s="94"/>
      <c r="C53" s="94"/>
    </row>
    <row r="54" spans="1:3" ht="25" customHeight="1" x14ac:dyDescent="0.2">
      <c r="A54" s="90" t="s">
        <v>66</v>
      </c>
      <c r="B54" s="90"/>
      <c r="C54" s="90"/>
    </row>
    <row r="55" spans="1:3" ht="35" customHeight="1" x14ac:dyDescent="0.2">
      <c r="A55" s="90" t="s">
        <v>67</v>
      </c>
      <c r="B55" s="90"/>
      <c r="C55" s="90"/>
    </row>
    <row r="56" spans="1:3" ht="36" customHeight="1" x14ac:dyDescent="0.2">
      <c r="A56" s="90" t="s">
        <v>68</v>
      </c>
      <c r="B56" s="90"/>
      <c r="C56" s="90"/>
    </row>
    <row r="57" spans="1:3" x14ac:dyDescent="0.2">
      <c r="A57" s="2"/>
      <c r="B57" s="2"/>
      <c r="C57" s="2"/>
    </row>
    <row r="58" spans="1:3" x14ac:dyDescent="0.2">
      <c r="A58" s="91" t="s">
        <v>69</v>
      </c>
      <c r="B58" s="91"/>
      <c r="C58" s="91"/>
    </row>
    <row r="59" spans="1:3" x14ac:dyDescent="0.2">
      <c r="A59" s="22" t="s">
        <v>70</v>
      </c>
      <c r="B59" s="22" t="s">
        <v>71</v>
      </c>
      <c r="C59" s="22" t="s">
        <v>72</v>
      </c>
    </row>
    <row r="60" spans="1:3" x14ac:dyDescent="0.2">
      <c r="A60" s="23" t="s">
        <v>73</v>
      </c>
      <c r="B60" s="24" t="s">
        <v>74</v>
      </c>
      <c r="C60" s="25" t="s">
        <v>75</v>
      </c>
    </row>
    <row r="61" spans="1:3" ht="26" x14ac:dyDescent="0.2">
      <c r="A61" s="26" t="s">
        <v>76</v>
      </c>
      <c r="B61" s="27" t="s">
        <v>77</v>
      </c>
      <c r="C61" s="28" t="s">
        <v>78</v>
      </c>
    </row>
    <row r="62" spans="1:3" x14ac:dyDescent="0.2">
      <c r="A62" s="23" t="s">
        <v>79</v>
      </c>
      <c r="B62" s="24" t="s">
        <v>80</v>
      </c>
      <c r="C62" s="25" t="s">
        <v>81</v>
      </c>
    </row>
    <row r="63" spans="1:3" ht="26" x14ac:dyDescent="0.2">
      <c r="A63" s="26" t="s">
        <v>82</v>
      </c>
      <c r="B63" s="27" t="s">
        <v>83</v>
      </c>
      <c r="C63" s="28" t="s">
        <v>84</v>
      </c>
    </row>
    <row r="64" spans="1:3" ht="39" x14ac:dyDescent="0.2">
      <c r="A64" s="23" t="s">
        <v>85</v>
      </c>
      <c r="B64" s="24" t="s">
        <v>86</v>
      </c>
      <c r="C64" s="25" t="s">
        <v>87</v>
      </c>
    </row>
    <row r="65" spans="1:3" ht="39" x14ac:dyDescent="0.2">
      <c r="A65" s="26" t="s">
        <v>88</v>
      </c>
      <c r="B65" s="27" t="s">
        <v>89</v>
      </c>
      <c r="C65" s="28" t="s">
        <v>90</v>
      </c>
    </row>
    <row r="66" spans="1:3" x14ac:dyDescent="0.2">
      <c r="A66" s="23" t="s">
        <v>91</v>
      </c>
      <c r="B66" s="24" t="s">
        <v>92</v>
      </c>
      <c r="C66" s="25" t="s">
        <v>93</v>
      </c>
    </row>
    <row r="67" spans="1:3" x14ac:dyDescent="0.2">
      <c r="A67" s="26" t="s">
        <v>94</v>
      </c>
      <c r="B67" s="27" t="s">
        <v>95</v>
      </c>
      <c r="C67" s="28" t="s">
        <v>96</v>
      </c>
    </row>
    <row r="68" spans="1:3" x14ac:dyDescent="0.2">
      <c r="A68" s="23" t="s">
        <v>97</v>
      </c>
      <c r="B68" s="24" t="s">
        <v>98</v>
      </c>
      <c r="C68" s="25" t="s">
        <v>99</v>
      </c>
    </row>
    <row r="69" spans="1:3" ht="39" x14ac:dyDescent="0.2">
      <c r="A69" s="26" t="s">
        <v>100</v>
      </c>
      <c r="B69" s="27" t="s">
        <v>101</v>
      </c>
      <c r="C69" s="28" t="s">
        <v>102</v>
      </c>
    </row>
    <row r="70" spans="1:3" ht="26" x14ac:dyDescent="0.2">
      <c r="A70" s="23" t="s">
        <v>103</v>
      </c>
      <c r="B70" s="24" t="s">
        <v>104</v>
      </c>
      <c r="C70" s="25" t="s">
        <v>105</v>
      </c>
    </row>
    <row r="71" spans="1:3" x14ac:dyDescent="0.2">
      <c r="A71" s="2"/>
      <c r="B71" s="2"/>
      <c r="C71" s="2"/>
    </row>
    <row r="72" spans="1:3" x14ac:dyDescent="0.2">
      <c r="A72" s="92" t="s">
        <v>106</v>
      </c>
      <c r="B72" s="92"/>
      <c r="C72" s="92"/>
    </row>
  </sheetData>
  <mergeCells count="44">
    <mergeCell ref="A1:C1"/>
    <mergeCell ref="A2:C2"/>
    <mergeCell ref="A4:C4"/>
    <mergeCell ref="A5:C5"/>
    <mergeCell ref="A10:C10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55:C55"/>
    <mergeCell ref="A56:C56"/>
    <mergeCell ref="A58:C58"/>
    <mergeCell ref="A72:C72"/>
    <mergeCell ref="A50:C50"/>
    <mergeCell ref="A51:C51"/>
    <mergeCell ref="A52:C52"/>
    <mergeCell ref="A53:C53"/>
    <mergeCell ref="A54:C5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8C8D"/>
  </sheetPr>
  <dimension ref="A1:F59"/>
  <sheetViews>
    <sheetView showGridLines="0"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40" customWidth="1"/>
    <col min="2" max="3" width="22" customWidth="1"/>
    <col min="4" max="5" width="16" customWidth="1"/>
    <col min="6" max="6" width="28" customWidth="1"/>
  </cols>
  <sheetData>
    <row r="1" spans="1:6" ht="25.5" customHeight="1" x14ac:dyDescent="0.2">
      <c r="A1" s="106" t="s">
        <v>107</v>
      </c>
      <c r="B1" s="106"/>
      <c r="C1" s="106"/>
      <c r="D1" s="106"/>
      <c r="E1" s="106"/>
      <c r="F1" s="106"/>
    </row>
    <row r="2" spans="1:6" ht="15" customHeight="1" x14ac:dyDescent="0.2">
      <c r="A2" s="105" t="s">
        <v>108</v>
      </c>
      <c r="B2" s="105"/>
      <c r="C2" s="105"/>
      <c r="D2" s="105"/>
      <c r="E2" s="105"/>
      <c r="F2" s="105"/>
    </row>
    <row r="4" spans="1:6" ht="18" customHeight="1" x14ac:dyDescent="0.2">
      <c r="A4" s="104" t="s">
        <v>109</v>
      </c>
      <c r="B4" s="104"/>
      <c r="C4" s="104"/>
      <c r="D4" s="104"/>
      <c r="E4" s="104"/>
      <c r="F4" s="104"/>
    </row>
    <row r="5" spans="1:6" ht="15" customHeight="1" x14ac:dyDescent="0.2">
      <c r="A5" s="29" t="s">
        <v>110</v>
      </c>
      <c r="B5" s="29" t="s">
        <v>111</v>
      </c>
      <c r="C5" s="29" t="s">
        <v>112</v>
      </c>
      <c r="D5" s="29"/>
      <c r="E5" s="29"/>
      <c r="F5" s="29" t="s">
        <v>113</v>
      </c>
    </row>
    <row r="6" spans="1:6" ht="15" customHeight="1" x14ac:dyDescent="0.2">
      <c r="A6" s="30" t="s">
        <v>114</v>
      </c>
      <c r="B6" s="31">
        <v>50</v>
      </c>
      <c r="C6" s="31">
        <v>120</v>
      </c>
      <c r="D6" s="32"/>
      <c r="E6" s="32"/>
      <c r="F6" s="33" t="s">
        <v>115</v>
      </c>
    </row>
    <row r="7" spans="1:6" ht="15" customHeight="1" x14ac:dyDescent="0.2">
      <c r="A7" s="30" t="s">
        <v>116</v>
      </c>
      <c r="B7" s="31">
        <v>50</v>
      </c>
      <c r="C7" s="31">
        <v>120</v>
      </c>
      <c r="D7" s="32"/>
      <c r="E7" s="32"/>
      <c r="F7" s="33" t="s">
        <v>117</v>
      </c>
    </row>
    <row r="8" spans="1:6" ht="23.25" customHeight="1" x14ac:dyDescent="0.2">
      <c r="A8" s="30" t="s">
        <v>118</v>
      </c>
      <c r="B8" s="31">
        <v>5</v>
      </c>
      <c r="C8" s="31">
        <v>15</v>
      </c>
      <c r="D8" s="32"/>
      <c r="E8" s="32"/>
      <c r="F8" s="33" t="s">
        <v>119</v>
      </c>
    </row>
    <row r="9" spans="1:6" ht="15" customHeight="1" x14ac:dyDescent="0.2">
      <c r="A9" s="30" t="s">
        <v>120</v>
      </c>
      <c r="B9" s="31">
        <v>3</v>
      </c>
      <c r="C9" s="31">
        <v>10</v>
      </c>
      <c r="D9" s="32"/>
      <c r="E9" s="32"/>
      <c r="F9" s="33" t="s">
        <v>121</v>
      </c>
    </row>
    <row r="11" spans="1:6" ht="18" customHeight="1" x14ac:dyDescent="0.2">
      <c r="A11" s="104" t="s">
        <v>122</v>
      </c>
      <c r="B11" s="104"/>
      <c r="C11" s="104"/>
      <c r="D11" s="104"/>
      <c r="E11" s="104"/>
      <c r="F11" s="104"/>
    </row>
    <row r="12" spans="1:6" ht="15" customHeight="1" x14ac:dyDescent="0.2">
      <c r="A12" s="29" t="s">
        <v>123</v>
      </c>
      <c r="B12" s="29" t="s">
        <v>124</v>
      </c>
      <c r="C12" s="29" t="s">
        <v>125</v>
      </c>
      <c r="D12" s="29" t="s">
        <v>126</v>
      </c>
      <c r="E12" s="29" t="s">
        <v>127</v>
      </c>
      <c r="F12" s="29" t="s">
        <v>113</v>
      </c>
    </row>
    <row r="13" spans="1:6" ht="15" customHeight="1" x14ac:dyDescent="0.2">
      <c r="A13" s="30" t="s">
        <v>128</v>
      </c>
      <c r="B13" s="31">
        <v>4500000</v>
      </c>
      <c r="C13" s="34">
        <f>B13*0.52</f>
        <v>2340000</v>
      </c>
      <c r="D13" s="31">
        <v>1</v>
      </c>
      <c r="E13" s="34">
        <f>(B13+C13)*D13</f>
        <v>6840000</v>
      </c>
      <c r="F13" s="33" t="s">
        <v>129</v>
      </c>
    </row>
    <row r="14" spans="1:6" ht="15" customHeight="1" x14ac:dyDescent="0.2">
      <c r="A14" s="30" t="s">
        <v>130</v>
      </c>
      <c r="B14" s="31">
        <v>4000000</v>
      </c>
      <c r="C14" s="34">
        <f>B14*0.52</f>
        <v>2080000</v>
      </c>
      <c r="D14" s="31">
        <v>1</v>
      </c>
      <c r="E14" s="34">
        <f>(B14+C14)*D14</f>
        <v>6080000</v>
      </c>
      <c r="F14" s="33" t="s">
        <v>131</v>
      </c>
    </row>
    <row r="15" spans="1:6" ht="15" customHeight="1" x14ac:dyDescent="0.2">
      <c r="A15" s="30" t="s">
        <v>132</v>
      </c>
      <c r="B15" s="31">
        <v>3800000</v>
      </c>
      <c r="C15" s="34">
        <f>B15*0.52</f>
        <v>1976000</v>
      </c>
      <c r="D15" s="31">
        <v>1</v>
      </c>
      <c r="E15" s="34">
        <f>(B15+C15)*D15</f>
        <v>5776000</v>
      </c>
      <c r="F15" s="33" t="s">
        <v>133</v>
      </c>
    </row>
    <row r="16" spans="1:6" ht="15" customHeight="1" x14ac:dyDescent="0.2">
      <c r="A16" s="30" t="s">
        <v>134</v>
      </c>
      <c r="B16" s="31">
        <v>2000000</v>
      </c>
      <c r="C16" s="34">
        <f>B16*0.52</f>
        <v>1040000</v>
      </c>
      <c r="D16" s="31">
        <v>1</v>
      </c>
      <c r="E16" s="34">
        <f>(B16+C16)*D16</f>
        <v>3040000</v>
      </c>
      <c r="F16" s="33" t="s">
        <v>135</v>
      </c>
    </row>
    <row r="17" spans="1:6" ht="15" customHeight="1" x14ac:dyDescent="0.2">
      <c r="A17" s="30" t="s">
        <v>136</v>
      </c>
      <c r="B17" s="31">
        <v>2800000</v>
      </c>
      <c r="C17" s="34">
        <f>B17*0.52</f>
        <v>1456000</v>
      </c>
      <c r="D17" s="31">
        <v>1</v>
      </c>
      <c r="E17" s="34">
        <f>(B17+C17)*D17</f>
        <v>4256000</v>
      </c>
      <c r="F17" s="33" t="s">
        <v>137</v>
      </c>
    </row>
    <row r="18" spans="1:6" ht="15" customHeight="1" x14ac:dyDescent="0.2">
      <c r="A18" s="35" t="s">
        <v>138</v>
      </c>
      <c r="B18" s="36"/>
      <c r="C18" s="36"/>
      <c r="D18" s="36"/>
      <c r="E18" s="37">
        <f>SUM(E13:E17)</f>
        <v>25992000</v>
      </c>
      <c r="F18" s="36"/>
    </row>
    <row r="20" spans="1:6" ht="18" customHeight="1" x14ac:dyDescent="0.2">
      <c r="A20" s="104" t="s">
        <v>139</v>
      </c>
      <c r="B20" s="104"/>
      <c r="C20" s="104"/>
      <c r="D20" s="104"/>
      <c r="E20" s="104"/>
      <c r="F20" s="104"/>
    </row>
    <row r="21" spans="1:6" ht="15" customHeight="1" x14ac:dyDescent="0.2">
      <c r="A21" s="29" t="s">
        <v>123</v>
      </c>
      <c r="B21" s="29" t="s">
        <v>124</v>
      </c>
      <c r="C21" s="29" t="s">
        <v>125</v>
      </c>
      <c r="D21" s="29" t="s">
        <v>126</v>
      </c>
      <c r="E21" s="29" t="s">
        <v>127</v>
      </c>
      <c r="F21" s="29" t="s">
        <v>113</v>
      </c>
    </row>
    <row r="22" spans="1:6" ht="15" customHeight="1" x14ac:dyDescent="0.2">
      <c r="A22" s="30" t="s">
        <v>140</v>
      </c>
      <c r="B22" s="31">
        <v>3500000</v>
      </c>
      <c r="C22" s="34">
        <f>B22*0.52</f>
        <v>1820000</v>
      </c>
      <c r="D22" s="31">
        <v>1</v>
      </c>
      <c r="E22" s="34">
        <f>(B22+C22)*D22</f>
        <v>5320000</v>
      </c>
      <c r="F22" s="33" t="s">
        <v>141</v>
      </c>
    </row>
    <row r="23" spans="1:6" ht="15" customHeight="1" x14ac:dyDescent="0.2">
      <c r="A23" s="30" t="s">
        <v>142</v>
      </c>
      <c r="B23" s="31">
        <v>2200000</v>
      </c>
      <c r="C23" s="34">
        <f>B23*0.52</f>
        <v>1144000</v>
      </c>
      <c r="D23" s="31">
        <v>1</v>
      </c>
      <c r="E23" s="34">
        <f>(B23+C23)*D23</f>
        <v>3344000</v>
      </c>
      <c r="F23" s="33" t="s">
        <v>143</v>
      </c>
    </row>
    <row r="24" spans="1:6" ht="15" customHeight="1" x14ac:dyDescent="0.2">
      <c r="A24" s="30" t="s">
        <v>144</v>
      </c>
      <c r="B24" s="31">
        <v>2800000</v>
      </c>
      <c r="C24" s="34">
        <f>B24*0.52</f>
        <v>1456000</v>
      </c>
      <c r="D24" s="31">
        <v>1</v>
      </c>
      <c r="E24" s="34">
        <f>(B24+C24)*D24</f>
        <v>4256000</v>
      </c>
      <c r="F24" s="33" t="s">
        <v>145</v>
      </c>
    </row>
    <row r="25" spans="1:6" ht="23.25" customHeight="1" x14ac:dyDescent="0.2">
      <c r="A25" s="35" t="s">
        <v>146</v>
      </c>
      <c r="B25" s="36"/>
      <c r="C25" s="36"/>
      <c r="D25" s="36"/>
      <c r="E25" s="37">
        <f>SUM(E22:E24)</f>
        <v>12920000</v>
      </c>
      <c r="F25" s="36"/>
    </row>
    <row r="27" spans="1:6" ht="18" customHeight="1" x14ac:dyDescent="0.2">
      <c r="A27" s="104" t="s">
        <v>147</v>
      </c>
      <c r="B27" s="104"/>
      <c r="C27" s="104"/>
      <c r="D27" s="104"/>
      <c r="E27" s="104"/>
      <c r="F27" s="104"/>
    </row>
    <row r="28" spans="1:6" ht="15" customHeight="1" x14ac:dyDescent="0.2">
      <c r="A28" s="29" t="s">
        <v>148</v>
      </c>
      <c r="B28" s="29" t="s">
        <v>149</v>
      </c>
      <c r="C28" s="29" t="s">
        <v>150</v>
      </c>
      <c r="D28" s="29"/>
      <c r="E28" s="29"/>
      <c r="F28" s="29" t="s">
        <v>151</v>
      </c>
    </row>
    <row r="29" spans="1:6" ht="15" customHeight="1" x14ac:dyDescent="0.2">
      <c r="A29" s="30" t="s">
        <v>152</v>
      </c>
      <c r="B29" s="31">
        <v>300000</v>
      </c>
      <c r="C29" s="30" t="s">
        <v>153</v>
      </c>
      <c r="D29" s="32"/>
      <c r="E29" s="32"/>
      <c r="F29" s="32"/>
    </row>
    <row r="30" spans="1:6" ht="15" customHeight="1" x14ac:dyDescent="0.2">
      <c r="A30" s="30" t="s">
        <v>154</v>
      </c>
      <c r="B30" s="31">
        <v>250000</v>
      </c>
      <c r="C30" s="30" t="s">
        <v>153</v>
      </c>
      <c r="D30" s="32"/>
      <c r="E30" s="32"/>
      <c r="F30" s="32"/>
    </row>
    <row r="31" spans="1:6" ht="15" customHeight="1" x14ac:dyDescent="0.2">
      <c r="A31" s="30" t="s">
        <v>155</v>
      </c>
      <c r="B31" s="31">
        <v>180000</v>
      </c>
      <c r="C31" s="30" t="s">
        <v>153</v>
      </c>
      <c r="D31" s="32"/>
      <c r="E31" s="32"/>
      <c r="F31" s="32"/>
    </row>
    <row r="32" spans="1:6" ht="15" customHeight="1" x14ac:dyDescent="0.2">
      <c r="A32" s="30" t="s">
        <v>156</v>
      </c>
      <c r="B32" s="31">
        <v>200000</v>
      </c>
      <c r="C32" s="30" t="s">
        <v>153</v>
      </c>
      <c r="D32" s="32"/>
      <c r="E32" s="32"/>
      <c r="F32" s="32"/>
    </row>
    <row r="33" spans="1:6" ht="15" customHeight="1" x14ac:dyDescent="0.2">
      <c r="A33" s="30" t="s">
        <v>157</v>
      </c>
      <c r="B33" s="31">
        <v>80000</v>
      </c>
      <c r="C33" s="30" t="s">
        <v>158</v>
      </c>
      <c r="D33" s="32"/>
      <c r="E33" s="32"/>
      <c r="F33" s="32"/>
    </row>
    <row r="34" spans="1:6" ht="15" customHeight="1" x14ac:dyDescent="0.2">
      <c r="A34" s="30" t="s">
        <v>159</v>
      </c>
      <c r="B34" s="31">
        <v>150000</v>
      </c>
      <c r="C34" s="30" t="s">
        <v>153</v>
      </c>
      <c r="D34" s="32"/>
      <c r="E34" s="32"/>
      <c r="F34" s="32"/>
    </row>
    <row r="35" spans="1:6" ht="15" customHeight="1" x14ac:dyDescent="0.2">
      <c r="A35" s="30" t="s">
        <v>160</v>
      </c>
      <c r="B35" s="31">
        <v>60000</v>
      </c>
      <c r="C35" s="30" t="s">
        <v>158</v>
      </c>
      <c r="D35" s="32"/>
      <c r="E35" s="32"/>
      <c r="F35" s="32"/>
    </row>
    <row r="36" spans="1:6" ht="15" customHeight="1" x14ac:dyDescent="0.2">
      <c r="A36" s="30" t="s">
        <v>161</v>
      </c>
      <c r="B36" s="31">
        <v>80000</v>
      </c>
      <c r="C36" s="30" t="s">
        <v>158</v>
      </c>
      <c r="D36" s="32"/>
      <c r="E36" s="32"/>
      <c r="F36" s="32"/>
    </row>
    <row r="37" spans="1:6" ht="15" customHeight="1" x14ac:dyDescent="0.2">
      <c r="A37" s="30" t="s">
        <v>162</v>
      </c>
      <c r="B37" s="31">
        <v>15000</v>
      </c>
      <c r="C37" s="30" t="s">
        <v>158</v>
      </c>
      <c r="D37" s="32"/>
      <c r="E37" s="32"/>
      <c r="F37" s="32"/>
    </row>
    <row r="38" spans="1:6" ht="15" customHeight="1" x14ac:dyDescent="0.2">
      <c r="A38" s="30" t="s">
        <v>163</v>
      </c>
      <c r="B38" s="31">
        <v>50000</v>
      </c>
      <c r="C38" s="30" t="s">
        <v>158</v>
      </c>
      <c r="D38" s="32"/>
      <c r="E38" s="32"/>
      <c r="F38" s="32"/>
    </row>
    <row r="39" spans="1:6" ht="15" customHeight="1" x14ac:dyDescent="0.2">
      <c r="A39" s="30" t="s">
        <v>164</v>
      </c>
      <c r="B39" s="31">
        <v>100000</v>
      </c>
      <c r="C39" s="30" t="s">
        <v>153</v>
      </c>
      <c r="D39" s="32"/>
      <c r="E39" s="32"/>
      <c r="F39" s="32"/>
    </row>
    <row r="40" spans="1:6" ht="15" customHeight="1" x14ac:dyDescent="0.2">
      <c r="A40" s="30" t="s">
        <v>165</v>
      </c>
      <c r="B40" s="31">
        <v>50000</v>
      </c>
      <c r="C40" s="30" t="s">
        <v>158</v>
      </c>
      <c r="D40" s="32"/>
      <c r="E40" s="32"/>
      <c r="F40" s="32"/>
    </row>
    <row r="41" spans="1:6" ht="15" customHeight="1" x14ac:dyDescent="0.2">
      <c r="A41" s="35" t="s">
        <v>166</v>
      </c>
      <c r="B41" s="37">
        <f>SUM(B29:B40)</f>
        <v>1515000</v>
      </c>
      <c r="C41" s="36"/>
      <c r="D41" s="36"/>
      <c r="E41" s="36"/>
      <c r="F41" s="36"/>
    </row>
    <row r="43" spans="1:6" ht="18" customHeight="1" x14ac:dyDescent="0.2">
      <c r="A43" s="104" t="s">
        <v>167</v>
      </c>
      <c r="B43" s="104"/>
      <c r="C43" s="104"/>
      <c r="D43" s="104"/>
      <c r="E43" s="104"/>
      <c r="F43" s="104"/>
    </row>
    <row r="44" spans="1:6" ht="15" customHeight="1" x14ac:dyDescent="0.2">
      <c r="A44" s="29" t="s">
        <v>168</v>
      </c>
      <c r="B44" s="29" t="s">
        <v>149</v>
      </c>
      <c r="C44" s="29"/>
      <c r="D44" s="29"/>
      <c r="E44" s="29"/>
      <c r="F44" s="29" t="s">
        <v>113</v>
      </c>
    </row>
    <row r="45" spans="1:6" ht="15" customHeight="1" x14ac:dyDescent="0.2">
      <c r="A45" s="30" t="s">
        <v>169</v>
      </c>
      <c r="B45" s="31">
        <v>400000</v>
      </c>
      <c r="C45" s="32"/>
      <c r="D45" s="32"/>
      <c r="E45" s="32"/>
      <c r="F45" s="33"/>
    </row>
    <row r="46" spans="1:6" ht="15" customHeight="1" x14ac:dyDescent="0.2">
      <c r="A46" s="30" t="s">
        <v>170</v>
      </c>
      <c r="B46" s="31">
        <v>150000</v>
      </c>
      <c r="C46" s="32"/>
      <c r="D46" s="32"/>
      <c r="E46" s="32"/>
      <c r="F46" s="33"/>
    </row>
    <row r="47" spans="1:6" ht="15" customHeight="1" x14ac:dyDescent="0.2">
      <c r="A47" s="30" t="s">
        <v>171</v>
      </c>
      <c r="B47" s="31">
        <v>300000</v>
      </c>
      <c r="C47" s="32"/>
      <c r="D47" s="32"/>
      <c r="E47" s="32"/>
      <c r="F47" s="33"/>
    </row>
    <row r="48" spans="1:6" ht="15" customHeight="1" x14ac:dyDescent="0.2">
      <c r="A48" s="30" t="s">
        <v>172</v>
      </c>
      <c r="B48" s="31">
        <v>500000</v>
      </c>
      <c r="C48" s="32"/>
      <c r="D48" s="32"/>
      <c r="E48" s="32"/>
      <c r="F48" s="33"/>
    </row>
    <row r="49" spans="1:6" ht="15" customHeight="1" x14ac:dyDescent="0.2">
      <c r="A49" s="30" t="s">
        <v>173</v>
      </c>
      <c r="B49" s="31">
        <v>200000</v>
      </c>
      <c r="C49" s="32"/>
      <c r="D49" s="32"/>
      <c r="E49" s="32"/>
      <c r="F49" s="33"/>
    </row>
    <row r="50" spans="1:6" ht="15" customHeight="1" x14ac:dyDescent="0.2">
      <c r="A50" s="30" t="s">
        <v>174</v>
      </c>
      <c r="B50" s="34">
        <f>SUM(B45:B49)*0.05</f>
        <v>77500</v>
      </c>
      <c r="C50" s="32"/>
      <c r="D50" s="32"/>
      <c r="E50" s="32"/>
      <c r="F50" s="33" t="s">
        <v>175</v>
      </c>
    </row>
    <row r="51" spans="1:6" ht="15" customHeight="1" x14ac:dyDescent="0.2">
      <c r="A51" s="35" t="s">
        <v>176</v>
      </c>
      <c r="B51" s="37">
        <f>SUM(B45:B50)</f>
        <v>1627500</v>
      </c>
      <c r="C51" s="36"/>
      <c r="D51" s="36"/>
      <c r="E51" s="36"/>
      <c r="F51" s="36"/>
    </row>
    <row r="53" spans="1:6" ht="18" customHeight="1" x14ac:dyDescent="0.2">
      <c r="A53" s="104" t="s">
        <v>177</v>
      </c>
      <c r="B53" s="104"/>
      <c r="C53" s="104"/>
      <c r="D53" s="104"/>
      <c r="E53" s="104"/>
      <c r="F53" s="104"/>
    </row>
    <row r="54" spans="1:6" ht="23.25" customHeight="1" x14ac:dyDescent="0.2">
      <c r="A54" s="29" t="s">
        <v>168</v>
      </c>
      <c r="B54" s="29" t="s">
        <v>178</v>
      </c>
      <c r="C54" s="29" t="s">
        <v>179</v>
      </c>
      <c r="D54" s="29" t="s">
        <v>180</v>
      </c>
      <c r="E54" s="29"/>
      <c r="F54" s="29" t="s">
        <v>113</v>
      </c>
    </row>
    <row r="55" spans="1:6" ht="15" customHeight="1" x14ac:dyDescent="0.2">
      <c r="A55" s="35" t="s">
        <v>181</v>
      </c>
      <c r="B55" s="37">
        <f>E18+E25+B41+B51</f>
        <v>42054500</v>
      </c>
      <c r="C55" s="36"/>
      <c r="D55" s="36"/>
      <c r="E55" s="36"/>
      <c r="F55" s="36"/>
    </row>
    <row r="56" spans="1:6" ht="23.25" customHeight="1" x14ac:dyDescent="0.2">
      <c r="A56" s="38" t="s">
        <v>182</v>
      </c>
      <c r="B56" s="39">
        <f>IF(B6&gt;0,B55/B6,0)</f>
        <v>841090</v>
      </c>
      <c r="C56" s="39">
        <f>IF(B6&gt;0,B55/B6,0)</f>
        <v>841090</v>
      </c>
      <c r="D56" s="40"/>
      <c r="E56" s="40"/>
      <c r="F56" s="41" t="s">
        <v>183</v>
      </c>
    </row>
    <row r="57" spans="1:6" ht="23.25" customHeight="1" x14ac:dyDescent="0.2">
      <c r="A57" s="38" t="s">
        <v>184</v>
      </c>
      <c r="B57" s="39">
        <f>IF(B7&gt;0,B55/B7,0)</f>
        <v>841090</v>
      </c>
      <c r="C57" s="40"/>
      <c r="D57" s="39">
        <f>IF(B7&gt;0,B55/B7,0)</f>
        <v>841090</v>
      </c>
      <c r="E57" s="40"/>
      <c r="F57" s="41" t="s">
        <v>185</v>
      </c>
    </row>
    <row r="59" spans="1:6" ht="23.25" customHeight="1" x14ac:dyDescent="0.2">
      <c r="A59" s="105" t="s">
        <v>186</v>
      </c>
      <c r="B59" s="105"/>
      <c r="C59" s="105"/>
      <c r="D59" s="105"/>
      <c r="E59" s="105"/>
      <c r="F59" s="105"/>
    </row>
  </sheetData>
  <mergeCells count="9">
    <mergeCell ref="A27:F27"/>
    <mergeCell ref="A43:F43"/>
    <mergeCell ref="A53:F53"/>
    <mergeCell ref="A59:F59"/>
    <mergeCell ref="A1:F1"/>
    <mergeCell ref="A2:F2"/>
    <mergeCell ref="A4:F4"/>
    <mergeCell ref="A11:F11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8449"/>
  </sheetPr>
  <dimension ref="A1:G48"/>
  <sheetViews>
    <sheetView showGridLines="0" zoomScaleNormal="100" workbookViewId="0">
      <pane ySplit="2" topLeftCell="A9" activePane="bottomLeft" state="frozen"/>
      <selection pane="bottomLeft" activeCell="B35" sqref="B35"/>
    </sheetView>
  </sheetViews>
  <sheetFormatPr baseColWidth="10" defaultColWidth="8.6640625" defaultRowHeight="15" x14ac:dyDescent="0.2"/>
  <cols>
    <col min="1" max="1" width="38" customWidth="1"/>
    <col min="2" max="5" width="20" customWidth="1"/>
    <col min="6" max="6" width="16" customWidth="1"/>
    <col min="7" max="7" width="26" customWidth="1"/>
  </cols>
  <sheetData>
    <row r="1" spans="1:7" ht="25.5" customHeight="1" x14ac:dyDescent="0.2">
      <c r="A1" s="106" t="s">
        <v>187</v>
      </c>
      <c r="B1" s="106"/>
      <c r="C1" s="106"/>
      <c r="D1" s="106"/>
      <c r="E1" s="106"/>
      <c r="F1" s="106"/>
      <c r="G1" s="106"/>
    </row>
    <row r="2" spans="1:7" ht="15" customHeight="1" x14ac:dyDescent="0.2">
      <c r="A2" s="105" t="s">
        <v>188</v>
      </c>
      <c r="B2" s="105"/>
      <c r="C2" s="105"/>
      <c r="D2" s="105"/>
      <c r="E2" s="105"/>
      <c r="F2" s="105"/>
      <c r="G2" s="105"/>
    </row>
    <row r="4" spans="1:7" ht="18" customHeight="1" x14ac:dyDescent="0.2">
      <c r="A4" s="104" t="s">
        <v>189</v>
      </c>
      <c r="B4" s="104"/>
      <c r="C4" s="104"/>
      <c r="D4" s="104"/>
      <c r="E4" s="104"/>
      <c r="F4" s="104"/>
      <c r="G4" s="104"/>
    </row>
    <row r="5" spans="1:7" ht="15" customHeight="1" x14ac:dyDescent="0.2">
      <c r="A5" s="29" t="s">
        <v>168</v>
      </c>
      <c r="B5" s="29" t="s">
        <v>190</v>
      </c>
      <c r="C5" s="29" t="s">
        <v>191</v>
      </c>
      <c r="D5" s="29" t="s">
        <v>192</v>
      </c>
      <c r="E5" s="29"/>
      <c r="F5" s="29"/>
      <c r="G5" s="29" t="s">
        <v>113</v>
      </c>
    </row>
    <row r="6" spans="1:7" ht="15" customHeight="1" x14ac:dyDescent="0.2">
      <c r="A6" s="30" t="s">
        <v>193</v>
      </c>
      <c r="B6" s="31">
        <v>30</v>
      </c>
      <c r="C6" s="30" t="s">
        <v>194</v>
      </c>
      <c r="D6" s="32"/>
      <c r="E6" s="32"/>
      <c r="F6" s="32"/>
      <c r="G6" s="33"/>
    </row>
    <row r="7" spans="1:7" ht="15" customHeight="1" x14ac:dyDescent="0.2">
      <c r="A7" s="30" t="s">
        <v>195</v>
      </c>
      <c r="B7" s="31">
        <v>5</v>
      </c>
      <c r="C7" s="30" t="s">
        <v>196</v>
      </c>
      <c r="D7" s="32"/>
      <c r="E7" s="32"/>
      <c r="F7" s="32"/>
      <c r="G7" s="33"/>
    </row>
    <row r="8" spans="1:7" ht="15" customHeight="1" x14ac:dyDescent="0.2">
      <c r="A8" s="30" t="s">
        <v>197</v>
      </c>
      <c r="B8" s="31">
        <v>3</v>
      </c>
      <c r="C8" s="30" t="s">
        <v>198</v>
      </c>
      <c r="D8" s="32"/>
      <c r="E8" s="32"/>
      <c r="F8" s="32"/>
      <c r="G8" s="33"/>
    </row>
    <row r="9" spans="1:7" ht="15" customHeight="1" x14ac:dyDescent="0.2">
      <c r="A9" s="30" t="s">
        <v>199</v>
      </c>
      <c r="B9" s="42">
        <f>B6*B7*B8</f>
        <v>450</v>
      </c>
      <c r="C9" s="30" t="s">
        <v>200</v>
      </c>
      <c r="D9" s="43" t="s">
        <v>201</v>
      </c>
      <c r="E9" s="32"/>
      <c r="F9" s="32"/>
      <c r="G9" s="33"/>
    </row>
    <row r="10" spans="1:7" ht="15" customHeight="1" x14ac:dyDescent="0.2">
      <c r="A10" s="30" t="s">
        <v>202</v>
      </c>
      <c r="B10" s="31">
        <v>80</v>
      </c>
      <c r="C10" s="30" t="s">
        <v>203</v>
      </c>
      <c r="D10" s="32"/>
      <c r="E10" s="32"/>
      <c r="F10" s="32"/>
      <c r="G10" s="33"/>
    </row>
    <row r="11" spans="1:7" ht="15" customHeight="1" x14ac:dyDescent="0.2">
      <c r="A11" s="30" t="s">
        <v>204</v>
      </c>
      <c r="B11" s="42">
        <f>B10*B8</f>
        <v>240</v>
      </c>
      <c r="C11" s="30" t="s">
        <v>200</v>
      </c>
      <c r="D11" s="43" t="s">
        <v>201</v>
      </c>
      <c r="E11" s="32"/>
      <c r="F11" s="32"/>
      <c r="G11" s="33"/>
    </row>
    <row r="12" spans="1:7" ht="15" customHeight="1" x14ac:dyDescent="0.2">
      <c r="A12" s="30" t="s">
        <v>205</v>
      </c>
      <c r="B12" s="31">
        <v>20</v>
      </c>
      <c r="C12" s="30" t="s">
        <v>206</v>
      </c>
      <c r="D12" s="32"/>
      <c r="E12" s="32"/>
      <c r="F12" s="32"/>
      <c r="G12" s="33"/>
    </row>
    <row r="13" spans="1:7" ht="15" customHeight="1" x14ac:dyDescent="0.2">
      <c r="A13" s="30" t="s">
        <v>207</v>
      </c>
      <c r="B13" s="42">
        <f>B12*B8</f>
        <v>60</v>
      </c>
      <c r="C13" s="30" t="s">
        <v>200</v>
      </c>
      <c r="D13" s="43" t="s">
        <v>201</v>
      </c>
      <c r="E13" s="32"/>
      <c r="F13" s="32"/>
      <c r="G13" s="33"/>
    </row>
    <row r="14" spans="1:7" ht="15" customHeight="1" x14ac:dyDescent="0.2">
      <c r="A14" s="30" t="s">
        <v>208</v>
      </c>
      <c r="B14" s="31">
        <v>200</v>
      </c>
      <c r="C14" s="30" t="s">
        <v>209</v>
      </c>
      <c r="D14" s="32"/>
      <c r="E14" s="32"/>
      <c r="F14" s="32"/>
      <c r="G14" s="33"/>
    </row>
    <row r="15" spans="1:7" ht="23.25" customHeight="1" x14ac:dyDescent="0.2">
      <c r="A15" s="35" t="s">
        <v>210</v>
      </c>
      <c r="B15" s="37">
        <f>B9+B11+B13+B14</f>
        <v>950</v>
      </c>
      <c r="C15" s="36"/>
      <c r="D15" s="36"/>
      <c r="E15" s="36"/>
      <c r="F15" s="36"/>
      <c r="G15" s="36"/>
    </row>
    <row r="17" spans="1:7" ht="18" customHeight="1" x14ac:dyDescent="0.2">
      <c r="A17" s="104" t="s">
        <v>211</v>
      </c>
      <c r="B17" s="104"/>
      <c r="C17" s="104"/>
      <c r="D17" s="104"/>
      <c r="E17" s="104"/>
      <c r="F17" s="104"/>
      <c r="G17" s="104"/>
    </row>
    <row r="18" spans="1:7" ht="15" customHeight="1" x14ac:dyDescent="0.2">
      <c r="A18" s="105" t="s">
        <v>212</v>
      </c>
      <c r="B18" s="105"/>
      <c r="C18" s="105"/>
      <c r="D18" s="105"/>
      <c r="E18" s="105"/>
      <c r="F18" s="105"/>
      <c r="G18" s="105"/>
    </row>
    <row r="19" spans="1:7" ht="15" customHeight="1" x14ac:dyDescent="0.2">
      <c r="A19" s="29" t="s">
        <v>168</v>
      </c>
      <c r="B19" s="29" t="s">
        <v>178</v>
      </c>
      <c r="C19" s="29" t="s">
        <v>213</v>
      </c>
      <c r="D19" s="29"/>
      <c r="E19" s="29"/>
      <c r="F19" s="29"/>
      <c r="G19" s="29"/>
    </row>
    <row r="20" spans="1:7" ht="23.25" customHeight="1" x14ac:dyDescent="0.2">
      <c r="A20" s="30" t="s">
        <v>214</v>
      </c>
      <c r="B20" s="44">
        <f>'1-Costos-Operativos'!B55</f>
        <v>42054500</v>
      </c>
      <c r="C20" s="33" t="s">
        <v>215</v>
      </c>
      <c r="D20" s="32"/>
      <c r="E20" s="32"/>
      <c r="F20" s="32"/>
      <c r="G20" s="32"/>
    </row>
    <row r="21" spans="1:7" ht="23.25" customHeight="1" x14ac:dyDescent="0.2">
      <c r="A21" s="30" t="s">
        <v>114</v>
      </c>
      <c r="B21" s="44">
        <f>'1-Costos-Operativos'!B6</f>
        <v>50</v>
      </c>
      <c r="C21" s="33" t="s">
        <v>215</v>
      </c>
      <c r="D21" s="32"/>
      <c r="E21" s="32"/>
      <c r="F21" s="32"/>
      <c r="G21" s="32"/>
    </row>
    <row r="22" spans="1:7" ht="23.25" customHeight="1" x14ac:dyDescent="0.2">
      <c r="A22" s="38" t="s">
        <v>216</v>
      </c>
      <c r="B22" s="39">
        <f>'1-Costos-Operativos'!B56</f>
        <v>841090</v>
      </c>
      <c r="C22" s="41" t="s">
        <v>217</v>
      </c>
      <c r="D22" s="40"/>
      <c r="E22" s="40"/>
      <c r="F22" s="40"/>
      <c r="G22" s="40"/>
    </row>
    <row r="24" spans="1:7" ht="18" customHeight="1" x14ac:dyDescent="0.2">
      <c r="A24" s="104" t="s">
        <v>218</v>
      </c>
      <c r="B24" s="104"/>
      <c r="C24" s="104"/>
      <c r="D24" s="104"/>
      <c r="E24" s="104"/>
      <c r="F24" s="104"/>
      <c r="G24" s="104"/>
    </row>
    <row r="25" spans="1:7" ht="15" customHeight="1" x14ac:dyDescent="0.2">
      <c r="A25" s="30" t="s">
        <v>219</v>
      </c>
      <c r="B25" s="34">
        <f>B15</f>
        <v>950</v>
      </c>
      <c r="C25" s="32"/>
      <c r="D25" s="32"/>
      <c r="E25" s="32"/>
      <c r="F25" s="32"/>
      <c r="G25" s="32"/>
    </row>
    <row r="26" spans="1:7" ht="15" customHeight="1" x14ac:dyDescent="0.2">
      <c r="A26" s="30" t="s">
        <v>220</v>
      </c>
      <c r="B26" s="44">
        <f>'1-Costos-Operativos'!B56</f>
        <v>841090</v>
      </c>
      <c r="C26" s="32"/>
      <c r="D26" s="32"/>
      <c r="E26" s="32"/>
      <c r="F26" s="32"/>
      <c r="G26" s="32"/>
    </row>
    <row r="27" spans="1:7" ht="15" customHeight="1" x14ac:dyDescent="0.2">
      <c r="A27" s="35" t="s">
        <v>221</v>
      </c>
      <c r="B27" s="37">
        <f>B25+B26</f>
        <v>842040</v>
      </c>
      <c r="C27" s="36"/>
      <c r="D27" s="36"/>
      <c r="E27" s="36"/>
      <c r="F27" s="36"/>
      <c r="G27" s="36"/>
    </row>
    <row r="29" spans="1:7" ht="18" customHeight="1" x14ac:dyDescent="0.2">
      <c r="A29" s="104" t="s">
        <v>222</v>
      </c>
      <c r="B29" s="104"/>
      <c r="C29" s="104"/>
      <c r="D29" s="104"/>
      <c r="E29" s="104"/>
      <c r="F29" s="104"/>
      <c r="G29" s="104"/>
    </row>
    <row r="30" spans="1:7" ht="15" customHeight="1" x14ac:dyDescent="0.2">
      <c r="A30" s="105" t="s">
        <v>223</v>
      </c>
      <c r="B30" s="105"/>
      <c r="C30" s="105"/>
      <c r="D30" s="105"/>
      <c r="E30" s="105"/>
      <c r="F30" s="105"/>
      <c r="G30" s="105"/>
    </row>
    <row r="31" spans="1:7" ht="15" customHeight="1" x14ac:dyDescent="0.2">
      <c r="A31" s="29" t="s">
        <v>110</v>
      </c>
      <c r="B31" s="29" t="s">
        <v>224</v>
      </c>
      <c r="C31" s="29"/>
      <c r="D31" s="29"/>
      <c r="E31" s="29"/>
      <c r="F31" s="29"/>
      <c r="G31" s="29" t="s">
        <v>225</v>
      </c>
    </row>
    <row r="32" spans="1:7" ht="23.25" customHeight="1" x14ac:dyDescent="0.2">
      <c r="A32" s="30" t="s">
        <v>226</v>
      </c>
      <c r="B32" s="31">
        <v>14000</v>
      </c>
      <c r="C32" s="32"/>
      <c r="D32" s="32"/>
      <c r="E32" s="32"/>
      <c r="F32" s="32"/>
      <c r="G32" s="33" t="s">
        <v>227</v>
      </c>
    </row>
    <row r="33" spans="1:7" ht="15" customHeight="1" x14ac:dyDescent="0.2">
      <c r="A33" s="30" t="s">
        <v>228</v>
      </c>
      <c r="B33" s="31">
        <v>18000</v>
      </c>
      <c r="C33" s="32"/>
      <c r="D33" s="32"/>
      <c r="E33" s="32"/>
      <c r="F33" s="32"/>
      <c r="G33" s="33" t="s">
        <v>229</v>
      </c>
    </row>
    <row r="34" spans="1:7" ht="15" customHeight="1" x14ac:dyDescent="0.2">
      <c r="A34" s="30" t="s">
        <v>230</v>
      </c>
      <c r="B34" s="44">
        <f>'2-SICOV'!B27</f>
        <v>842040</v>
      </c>
      <c r="C34" s="32"/>
      <c r="D34" s="32"/>
      <c r="E34" s="32"/>
      <c r="F34" s="32"/>
      <c r="G34" s="32"/>
    </row>
    <row r="35" spans="1:7" ht="23.25" customHeight="1" x14ac:dyDescent="0.2">
      <c r="A35" s="38" t="s">
        <v>231</v>
      </c>
      <c r="B35" s="45">
        <f>IF(B32&gt;0,(B32-B34)/B32,0)</f>
        <v>-59.145714285714284</v>
      </c>
      <c r="C35" s="40"/>
      <c r="D35" s="40"/>
      <c r="E35" s="40"/>
      <c r="F35" s="40"/>
      <c r="G35" s="41" t="s">
        <v>232</v>
      </c>
    </row>
    <row r="36" spans="1:7" ht="23.25" customHeight="1" x14ac:dyDescent="0.2">
      <c r="A36" s="38" t="s">
        <v>233</v>
      </c>
      <c r="B36" s="45">
        <f>IF(B33&gt;0,(B33-B34)/B33,0)</f>
        <v>-45.78</v>
      </c>
      <c r="C36" s="40"/>
      <c r="D36" s="40"/>
      <c r="E36" s="40"/>
      <c r="F36" s="40"/>
      <c r="G36" s="41" t="s">
        <v>234</v>
      </c>
    </row>
    <row r="37" spans="1:7" ht="15" customHeight="1" x14ac:dyDescent="0.2">
      <c r="A37" s="30" t="s">
        <v>235</v>
      </c>
      <c r="B37" s="34">
        <f>B33-B34</f>
        <v>-824040</v>
      </c>
      <c r="C37" s="32"/>
      <c r="D37" s="32"/>
      <c r="E37" s="32"/>
      <c r="F37" s="32"/>
      <c r="G37" s="32"/>
    </row>
    <row r="39" spans="1:7" ht="18" customHeight="1" x14ac:dyDescent="0.2">
      <c r="A39" s="104" t="s">
        <v>236</v>
      </c>
      <c r="B39" s="104"/>
      <c r="C39" s="104"/>
      <c r="D39" s="104"/>
      <c r="E39" s="104"/>
      <c r="F39" s="104"/>
      <c r="G39" s="104"/>
    </row>
    <row r="40" spans="1:7" ht="15" customHeight="1" x14ac:dyDescent="0.2">
      <c r="A40" s="105" t="s">
        <v>237</v>
      </c>
      <c r="B40" s="105"/>
      <c r="C40" s="105"/>
      <c r="D40" s="105"/>
      <c r="E40" s="105"/>
      <c r="F40" s="105"/>
      <c r="G40" s="105"/>
    </row>
    <row r="41" spans="1:7" ht="15" customHeight="1" x14ac:dyDescent="0.2">
      <c r="A41" s="29" t="s">
        <v>238</v>
      </c>
      <c r="B41" s="29" t="s">
        <v>239</v>
      </c>
      <c r="C41" s="29" t="s">
        <v>240</v>
      </c>
      <c r="D41" s="29" t="s">
        <v>241</v>
      </c>
      <c r="E41" s="29" t="s">
        <v>242</v>
      </c>
      <c r="F41" s="29" t="s">
        <v>243</v>
      </c>
      <c r="G41" s="29" t="s">
        <v>244</v>
      </c>
    </row>
    <row r="42" spans="1:7" ht="15" customHeight="1" x14ac:dyDescent="0.2">
      <c r="A42" s="30" t="s">
        <v>245</v>
      </c>
      <c r="B42" s="46">
        <v>0</v>
      </c>
      <c r="C42" s="39">
        <f>ROUND(B33*(1-B42)/500,0)*500</f>
        <v>18000</v>
      </c>
      <c r="D42" s="44">
        <f>'2-SICOV'!B27</f>
        <v>842040</v>
      </c>
      <c r="E42" s="47">
        <f t="shared" ref="E42:E47" si="0">IF(C42&gt;0,(C42-D42)/C42,0)</f>
        <v>-45.78</v>
      </c>
      <c r="F42" s="34">
        <f t="shared" ref="F42:F47" si="1">C42-D42</f>
        <v>-824040</v>
      </c>
      <c r="G42" s="48" t="str">
        <f t="shared" ref="G42:G47" si="2">IF(E42&gt;=0.6,"✅ Sí","⚠️ Revisar")</f>
        <v>⚠️ Revisar</v>
      </c>
    </row>
    <row r="43" spans="1:7" ht="15" customHeight="1" x14ac:dyDescent="0.2">
      <c r="A43" s="30" t="s">
        <v>246</v>
      </c>
      <c r="B43" s="46">
        <v>0.05</v>
      </c>
      <c r="C43" s="39">
        <f>ROUND(B33*(1-B43)/500,0)*500</f>
        <v>17000</v>
      </c>
      <c r="D43" s="44">
        <f>'2-SICOV'!B27</f>
        <v>842040</v>
      </c>
      <c r="E43" s="47">
        <f t="shared" si="0"/>
        <v>-48.531764705882352</v>
      </c>
      <c r="F43" s="34">
        <f t="shared" si="1"/>
        <v>-825040</v>
      </c>
      <c r="G43" s="48" t="str">
        <f t="shared" si="2"/>
        <v>⚠️ Revisar</v>
      </c>
    </row>
    <row r="44" spans="1:7" ht="15" customHeight="1" x14ac:dyDescent="0.2">
      <c r="A44" s="30" t="s">
        <v>247</v>
      </c>
      <c r="B44" s="46">
        <v>0.08</v>
      </c>
      <c r="C44" s="39">
        <f>ROUND(B33*(1-B44)/500,0)*500</f>
        <v>16500</v>
      </c>
      <c r="D44" s="44">
        <f>'2-SICOV'!B27</f>
        <v>842040</v>
      </c>
      <c r="E44" s="47">
        <f t="shared" si="0"/>
        <v>-50.032727272727271</v>
      </c>
      <c r="F44" s="34">
        <f t="shared" si="1"/>
        <v>-825540</v>
      </c>
      <c r="G44" s="48" t="str">
        <f t="shared" si="2"/>
        <v>⚠️ Revisar</v>
      </c>
    </row>
    <row r="45" spans="1:7" ht="15" customHeight="1" x14ac:dyDescent="0.2">
      <c r="A45" s="30" t="s">
        <v>248</v>
      </c>
      <c r="B45" s="46">
        <v>0.12</v>
      </c>
      <c r="C45" s="39">
        <f>ROUND(B33*(1-B45)/500,0)*500</f>
        <v>16000</v>
      </c>
      <c r="D45" s="44">
        <f>'2-SICOV'!B27</f>
        <v>842040</v>
      </c>
      <c r="E45" s="47">
        <f t="shared" si="0"/>
        <v>-51.627499999999998</v>
      </c>
      <c r="F45" s="34">
        <f t="shared" si="1"/>
        <v>-826040</v>
      </c>
      <c r="G45" s="48" t="str">
        <f t="shared" si="2"/>
        <v>⚠️ Revisar</v>
      </c>
    </row>
    <row r="46" spans="1:7" ht="15" customHeight="1" x14ac:dyDescent="0.2">
      <c r="A46" s="30" t="s">
        <v>249</v>
      </c>
      <c r="B46" s="46">
        <v>0.16</v>
      </c>
      <c r="C46" s="39">
        <f>ROUND(B33*(1-B46)/500,0)*500</f>
        <v>15000</v>
      </c>
      <c r="D46" s="44">
        <f>'2-SICOV'!B27</f>
        <v>842040</v>
      </c>
      <c r="E46" s="47">
        <f t="shared" si="0"/>
        <v>-55.136000000000003</v>
      </c>
      <c r="F46" s="34">
        <f t="shared" si="1"/>
        <v>-827040</v>
      </c>
      <c r="G46" s="48" t="str">
        <f t="shared" si="2"/>
        <v>⚠️ Revisar</v>
      </c>
    </row>
    <row r="47" spans="1:7" ht="15" customHeight="1" x14ac:dyDescent="0.2">
      <c r="A47" s="30" t="s">
        <v>250</v>
      </c>
      <c r="B47" s="46">
        <v>0.2</v>
      </c>
      <c r="C47" s="39">
        <f>ROUND(B33*(1-B47)/500,0)*500</f>
        <v>14500</v>
      </c>
      <c r="D47" s="44">
        <f>'2-SICOV'!B27</f>
        <v>842040</v>
      </c>
      <c r="E47" s="47">
        <f t="shared" si="0"/>
        <v>-57.071724137931035</v>
      </c>
      <c r="F47" s="34">
        <f t="shared" si="1"/>
        <v>-827540</v>
      </c>
      <c r="G47" s="48" t="str">
        <f t="shared" si="2"/>
        <v>⚠️ Revisar</v>
      </c>
    </row>
    <row r="48" spans="1:7" ht="15" customHeight="1" x14ac:dyDescent="0.2">
      <c r="A48" s="105" t="s">
        <v>251</v>
      </c>
      <c r="B48" s="105"/>
      <c r="C48" s="105"/>
      <c r="D48" s="105"/>
      <c r="E48" s="105"/>
      <c r="F48" s="105"/>
      <c r="G48" s="105"/>
    </row>
  </sheetData>
  <mergeCells count="11">
    <mergeCell ref="A1:G1"/>
    <mergeCell ref="A2:G2"/>
    <mergeCell ref="A4:G4"/>
    <mergeCell ref="A17:G17"/>
    <mergeCell ref="A18:G18"/>
    <mergeCell ref="A48:G48"/>
    <mergeCell ref="A24:G24"/>
    <mergeCell ref="A29:G29"/>
    <mergeCell ref="A30:G30"/>
    <mergeCell ref="A39:G39"/>
    <mergeCell ref="A40:G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D8B"/>
  </sheetPr>
  <dimension ref="A1:G61"/>
  <sheetViews>
    <sheetView showGridLines="0" zoomScaleNormal="100" workbookViewId="0">
      <pane ySplit="2" topLeftCell="A3" activePane="bottomLeft" state="frozen"/>
      <selection pane="bottomLeft" activeCell="B19" sqref="B19"/>
    </sheetView>
  </sheetViews>
  <sheetFormatPr baseColWidth="10" defaultColWidth="8.6640625" defaultRowHeight="15" x14ac:dyDescent="0.2"/>
  <cols>
    <col min="1" max="1" width="38" customWidth="1"/>
    <col min="2" max="5" width="20" customWidth="1"/>
    <col min="6" max="6" width="16" customWidth="1"/>
    <col min="7" max="7" width="26" customWidth="1"/>
  </cols>
  <sheetData>
    <row r="1" spans="1:7" ht="25.5" customHeight="1" x14ac:dyDescent="0.2">
      <c r="A1" s="106" t="s">
        <v>252</v>
      </c>
      <c r="B1" s="106"/>
      <c r="C1" s="106"/>
      <c r="D1" s="106"/>
      <c r="E1" s="106"/>
      <c r="F1" s="106"/>
      <c r="G1" s="106"/>
    </row>
    <row r="2" spans="1:7" ht="15" customHeight="1" x14ac:dyDescent="0.2">
      <c r="A2" s="105" t="s">
        <v>253</v>
      </c>
      <c r="B2" s="105"/>
      <c r="C2" s="105"/>
      <c r="D2" s="105"/>
      <c r="E2" s="105"/>
      <c r="F2" s="105"/>
      <c r="G2" s="105"/>
    </row>
    <row r="4" spans="1:7" ht="18" customHeight="1" x14ac:dyDescent="0.2">
      <c r="A4" s="104" t="s">
        <v>254</v>
      </c>
      <c r="B4" s="104"/>
      <c r="C4" s="104"/>
      <c r="D4" s="104"/>
      <c r="E4" s="104"/>
      <c r="F4" s="104"/>
      <c r="G4" s="104"/>
    </row>
    <row r="5" spans="1:7" ht="15" customHeight="1" x14ac:dyDescent="0.2">
      <c r="A5" s="29" t="s">
        <v>168</v>
      </c>
      <c r="B5" s="29" t="s">
        <v>190</v>
      </c>
      <c r="C5" s="29" t="s">
        <v>255</v>
      </c>
      <c r="D5" s="29" t="s">
        <v>256</v>
      </c>
      <c r="E5" s="29"/>
      <c r="F5" s="29"/>
      <c r="G5" s="29" t="s">
        <v>113</v>
      </c>
    </row>
    <row r="6" spans="1:7" ht="15" customHeight="1" x14ac:dyDescent="0.2">
      <c r="A6" s="30" t="s">
        <v>257</v>
      </c>
      <c r="B6" s="31">
        <v>3500</v>
      </c>
      <c r="C6" s="30" t="s">
        <v>209</v>
      </c>
      <c r="D6" s="32"/>
      <c r="E6" s="32"/>
      <c r="F6" s="32"/>
      <c r="G6" s="32"/>
    </row>
    <row r="7" spans="1:7" ht="15" customHeight="1" x14ac:dyDescent="0.2">
      <c r="A7" s="30" t="s">
        <v>258</v>
      </c>
      <c r="B7" s="31">
        <v>1800</v>
      </c>
      <c r="C7" s="30" t="s">
        <v>209</v>
      </c>
      <c r="D7" s="32"/>
      <c r="E7" s="32"/>
      <c r="F7" s="32"/>
      <c r="G7" s="32"/>
    </row>
    <row r="8" spans="1:7" ht="15" customHeight="1" x14ac:dyDescent="0.2">
      <c r="A8" s="30" t="s">
        <v>259</v>
      </c>
      <c r="B8" s="31">
        <v>900</v>
      </c>
      <c r="C8" s="30" t="s">
        <v>209</v>
      </c>
      <c r="D8" s="32"/>
      <c r="E8" s="32"/>
      <c r="F8" s="32"/>
      <c r="G8" s="32"/>
    </row>
    <row r="9" spans="1:7" ht="15" customHeight="1" x14ac:dyDescent="0.2">
      <c r="A9" s="30" t="s">
        <v>260</v>
      </c>
      <c r="B9" s="31">
        <v>500</v>
      </c>
      <c r="C9" s="30" t="s">
        <v>209</v>
      </c>
      <c r="D9" s="32"/>
      <c r="E9" s="32"/>
      <c r="F9" s="32"/>
      <c r="G9" s="32"/>
    </row>
    <row r="10" spans="1:7" ht="15" customHeight="1" x14ac:dyDescent="0.2">
      <c r="A10" s="30" t="s">
        <v>261</v>
      </c>
      <c r="B10" s="31">
        <v>700</v>
      </c>
      <c r="C10" s="30" t="s">
        <v>209</v>
      </c>
      <c r="D10" s="32"/>
      <c r="E10" s="32"/>
      <c r="F10" s="32"/>
      <c r="G10" s="32"/>
    </row>
    <row r="11" spans="1:7" ht="15" customHeight="1" x14ac:dyDescent="0.2">
      <c r="A11" s="30" t="s">
        <v>262</v>
      </c>
      <c r="B11" s="31">
        <v>400</v>
      </c>
      <c r="C11" s="30" t="s">
        <v>209</v>
      </c>
      <c r="D11" s="32"/>
      <c r="E11" s="32"/>
      <c r="F11" s="32"/>
      <c r="G11" s="32"/>
    </row>
    <row r="12" spans="1:7" ht="15" customHeight="1" x14ac:dyDescent="0.2">
      <c r="A12" s="30" t="s">
        <v>263</v>
      </c>
      <c r="B12" s="31">
        <v>150</v>
      </c>
      <c r="C12" s="30" t="s">
        <v>209</v>
      </c>
      <c r="D12" s="32"/>
      <c r="E12" s="32"/>
      <c r="F12" s="32"/>
      <c r="G12" s="32"/>
    </row>
    <row r="13" spans="1:7" ht="15" customHeight="1" x14ac:dyDescent="0.2">
      <c r="A13" s="35" t="s">
        <v>264</v>
      </c>
      <c r="B13" s="37">
        <f>SUM(B6:B12)</f>
        <v>7950</v>
      </c>
      <c r="C13" s="36"/>
      <c r="D13" s="36"/>
      <c r="E13" s="36"/>
      <c r="F13" s="36"/>
      <c r="G13" s="36"/>
    </row>
    <row r="15" spans="1:7" ht="18" customHeight="1" x14ac:dyDescent="0.2">
      <c r="A15" s="104" t="s">
        <v>265</v>
      </c>
      <c r="B15" s="104"/>
      <c r="C15" s="104"/>
      <c r="D15" s="104"/>
      <c r="E15" s="104"/>
      <c r="F15" s="104"/>
      <c r="G15" s="104"/>
    </row>
    <row r="16" spans="1:7" ht="15" customHeight="1" x14ac:dyDescent="0.2">
      <c r="A16" s="29" t="s">
        <v>168</v>
      </c>
      <c r="B16" s="29" t="s">
        <v>178</v>
      </c>
      <c r="C16" s="29" t="s">
        <v>213</v>
      </c>
      <c r="D16" s="29"/>
      <c r="E16" s="29"/>
      <c r="F16" s="29"/>
      <c r="G16" s="29"/>
    </row>
    <row r="17" spans="1:7" ht="23.25" customHeight="1" x14ac:dyDescent="0.2">
      <c r="A17" s="30" t="s">
        <v>214</v>
      </c>
      <c r="B17" s="44">
        <f>'1-Costos-Operativos'!B55</f>
        <v>42054500</v>
      </c>
      <c r="C17" s="33" t="s">
        <v>215</v>
      </c>
      <c r="D17" s="32"/>
      <c r="E17" s="32"/>
      <c r="F17" s="32"/>
      <c r="G17" s="32"/>
    </row>
    <row r="18" spans="1:7" ht="23.25" customHeight="1" x14ac:dyDescent="0.2">
      <c r="A18" s="30" t="s">
        <v>266</v>
      </c>
      <c r="B18" s="44">
        <f>'1-Costos-Operativos'!B7</f>
        <v>50</v>
      </c>
      <c r="C18" s="33" t="s">
        <v>215</v>
      </c>
      <c r="D18" s="32"/>
      <c r="E18" s="32"/>
      <c r="F18" s="32"/>
      <c r="G18" s="32"/>
    </row>
    <row r="19" spans="1:7" ht="23.25" customHeight="1" x14ac:dyDescent="0.2">
      <c r="A19" s="38" t="s">
        <v>267</v>
      </c>
      <c r="B19" s="39">
        <f>'1-Costos-Operativos'!B57</f>
        <v>841090</v>
      </c>
      <c r="C19" s="41" t="s">
        <v>217</v>
      </c>
      <c r="D19" s="40"/>
      <c r="E19" s="40"/>
      <c r="F19" s="40"/>
      <c r="G19" s="40"/>
    </row>
    <row r="21" spans="1:7" ht="18" customHeight="1" x14ac:dyDescent="0.2">
      <c r="A21" s="104" t="s">
        <v>268</v>
      </c>
      <c r="B21" s="104"/>
      <c r="C21" s="104"/>
      <c r="D21" s="104"/>
      <c r="E21" s="104"/>
      <c r="F21" s="104"/>
      <c r="G21" s="104"/>
    </row>
    <row r="22" spans="1:7" ht="15" customHeight="1" x14ac:dyDescent="0.2">
      <c r="A22" s="30" t="s">
        <v>269</v>
      </c>
      <c r="B22" s="34">
        <f>B13</f>
        <v>7950</v>
      </c>
      <c r="C22" s="32"/>
    </row>
    <row r="23" spans="1:7" ht="15" customHeight="1" x14ac:dyDescent="0.2">
      <c r="D23" s="32"/>
    </row>
    <row r="24" spans="1:7" ht="15" customHeight="1" x14ac:dyDescent="0.2">
      <c r="E24" s="32"/>
    </row>
    <row r="25" spans="1:7" ht="15" customHeight="1" x14ac:dyDescent="0.2">
      <c r="F25" s="32"/>
    </row>
    <row r="26" spans="1:7" ht="15" customHeight="1" x14ac:dyDescent="0.2">
      <c r="G26" s="32"/>
    </row>
    <row r="27" spans="1:7" ht="15" customHeight="1" x14ac:dyDescent="0.2">
      <c r="A27" s="30" t="s">
        <v>270</v>
      </c>
      <c r="B27" s="44">
        <f>'1-Costos-Operativos'!B57</f>
        <v>841090</v>
      </c>
      <c r="C27" s="32"/>
    </row>
    <row r="28" spans="1:7" ht="15" customHeight="1" x14ac:dyDescent="0.2">
      <c r="D28" s="32"/>
    </row>
    <row r="29" spans="1:7" ht="15" customHeight="1" x14ac:dyDescent="0.2">
      <c r="E29" s="32"/>
    </row>
    <row r="30" spans="1:7" ht="15" customHeight="1" x14ac:dyDescent="0.2">
      <c r="F30" s="32"/>
    </row>
    <row r="31" spans="1:7" ht="15" customHeight="1" x14ac:dyDescent="0.2">
      <c r="G31" s="32"/>
    </row>
    <row r="32" spans="1:7" ht="15" customHeight="1" x14ac:dyDescent="0.2">
      <c r="A32" s="35" t="s">
        <v>271</v>
      </c>
      <c r="B32" s="37">
        <f>B30+B31</f>
        <v>0</v>
      </c>
      <c r="C32" s="36"/>
      <c r="D32" s="36"/>
      <c r="E32" s="36"/>
      <c r="F32" s="36"/>
      <c r="G32" s="36"/>
    </row>
    <row r="34" spans="1:7" ht="18" customHeight="1" x14ac:dyDescent="0.2">
      <c r="A34" s="104" t="s">
        <v>222</v>
      </c>
      <c r="B34" s="104"/>
      <c r="C34" s="104"/>
      <c r="D34" s="104"/>
      <c r="E34" s="104"/>
      <c r="F34" s="104"/>
      <c r="G34" s="104"/>
    </row>
    <row r="35" spans="1:7" ht="15" customHeight="1" x14ac:dyDescent="0.2">
      <c r="A35" s="29" t="s">
        <v>110</v>
      </c>
      <c r="B35" s="29" t="s">
        <v>224</v>
      </c>
      <c r="C35" s="29"/>
      <c r="D35" s="29"/>
      <c r="E35" s="29"/>
      <c r="F35" s="29"/>
      <c r="G35" s="29" t="s">
        <v>225</v>
      </c>
    </row>
    <row r="36" spans="1:7" ht="23.25" customHeight="1" x14ac:dyDescent="0.2">
      <c r="A36" s="30" t="s">
        <v>272</v>
      </c>
      <c r="B36" s="31">
        <v>24000</v>
      </c>
      <c r="C36" s="32"/>
      <c r="D36" s="32"/>
      <c r="E36" s="32"/>
      <c r="F36" s="32"/>
      <c r="G36" s="33" t="s">
        <v>273</v>
      </c>
    </row>
    <row r="37" spans="1:7" ht="23.25" customHeight="1" x14ac:dyDescent="0.2">
      <c r="A37" s="30" t="s">
        <v>274</v>
      </c>
      <c r="B37" s="31">
        <v>28000</v>
      </c>
      <c r="C37" s="32"/>
      <c r="D37" s="32"/>
      <c r="E37" s="32"/>
      <c r="F37" s="32"/>
      <c r="G37" s="33" t="s">
        <v>229</v>
      </c>
    </row>
    <row r="38" spans="1:7" ht="15" customHeight="1" x14ac:dyDescent="0.2">
      <c r="A38" s="30" t="s">
        <v>275</v>
      </c>
      <c r="B38" s="44">
        <f>'3-App-Conductor'!B32</f>
        <v>0</v>
      </c>
      <c r="C38" s="32"/>
      <c r="D38" s="32"/>
      <c r="E38" s="32"/>
      <c r="F38" s="32"/>
      <c r="G38" s="32"/>
    </row>
    <row r="39" spans="1:7" ht="15" customHeight="1" x14ac:dyDescent="0.2">
      <c r="A39" s="38" t="s">
        <v>276</v>
      </c>
      <c r="B39" s="45">
        <f>IF(B36&gt;0,(B36-B38)/B36,0)</f>
        <v>1</v>
      </c>
      <c r="C39" s="40"/>
    </row>
    <row r="40" spans="1:7" ht="15" customHeight="1" x14ac:dyDescent="0.2">
      <c r="D40" s="40"/>
    </row>
    <row r="41" spans="1:7" ht="15" customHeight="1" x14ac:dyDescent="0.2">
      <c r="E41" s="40"/>
    </row>
    <row r="42" spans="1:7" ht="15" customHeight="1" x14ac:dyDescent="0.2">
      <c r="F42" s="40"/>
    </row>
    <row r="43" spans="1:7" ht="15" customHeight="1" x14ac:dyDescent="0.2">
      <c r="G43" s="40"/>
    </row>
    <row r="44" spans="1:7" ht="15" customHeight="1" x14ac:dyDescent="0.2">
      <c r="A44" s="38" t="s">
        <v>277</v>
      </c>
      <c r="B44" s="45">
        <f>IF(B37&gt;0,(B37-B38)/B37,0)</f>
        <v>1</v>
      </c>
      <c r="C44" s="40"/>
    </row>
    <row r="46" spans="1:7" ht="15" customHeight="1" x14ac:dyDescent="0.2">
      <c r="D46" s="40"/>
    </row>
    <row r="48" spans="1:7" ht="15" customHeight="1" x14ac:dyDescent="0.2">
      <c r="E48" s="40"/>
    </row>
    <row r="50" spans="1:7" ht="15" customHeight="1" x14ac:dyDescent="0.2">
      <c r="F50" s="40"/>
    </row>
    <row r="52" spans="1:7" ht="15" customHeight="1" x14ac:dyDescent="0.2">
      <c r="G52" s="40"/>
    </row>
    <row r="54" spans="1:7" ht="18" customHeight="1" x14ac:dyDescent="0.2">
      <c r="A54" s="104" t="s">
        <v>278</v>
      </c>
      <c r="B54" s="104"/>
      <c r="C54" s="104"/>
      <c r="D54" s="104"/>
      <c r="E54" s="104"/>
      <c r="F54" s="104"/>
      <c r="G54" s="104"/>
    </row>
    <row r="55" spans="1:7" ht="15" customHeight="1" x14ac:dyDescent="0.2">
      <c r="A55" s="29" t="s">
        <v>279</v>
      </c>
      <c r="B55" s="29" t="s">
        <v>239</v>
      </c>
      <c r="C55" s="29" t="s">
        <v>280</v>
      </c>
      <c r="D55" s="29" t="s">
        <v>281</v>
      </c>
      <c r="E55" s="29" t="s">
        <v>242</v>
      </c>
      <c r="F55" s="29" t="s">
        <v>282</v>
      </c>
      <c r="G55" s="29" t="s">
        <v>244</v>
      </c>
    </row>
    <row r="56" spans="1:7" ht="15" customHeight="1" x14ac:dyDescent="0.2">
      <c r="A56" s="30" t="s">
        <v>283</v>
      </c>
      <c r="B56" s="46">
        <v>0</v>
      </c>
      <c r="C56" s="39">
        <f>ROUND(B37*(1-B56)/500,0)*500</f>
        <v>28000</v>
      </c>
      <c r="D56" s="44">
        <f>'3-App-Conductor'!B32</f>
        <v>0</v>
      </c>
      <c r="E56" s="47">
        <f t="shared" ref="E56:E61" si="0">IF(C56&gt;0,(C56-D56)/C56,0)</f>
        <v>1</v>
      </c>
      <c r="F56" s="34">
        <f t="shared" ref="F56:F61" si="1">C56-D56</f>
        <v>28000</v>
      </c>
      <c r="G56" s="48" t="str">
        <f t="shared" ref="G56:G61" si="2">IF(E56&gt;=0.6,"✅ Sí","⚠️ Revisar")</f>
        <v>✅ Sí</v>
      </c>
    </row>
    <row r="57" spans="1:7" ht="15" customHeight="1" x14ac:dyDescent="0.2">
      <c r="A57" s="30" t="s">
        <v>284</v>
      </c>
      <c r="B57" s="46">
        <v>0.05</v>
      </c>
      <c r="C57" s="39">
        <f>ROUND(B37*(1-B57)/500,0)*500</f>
        <v>26500</v>
      </c>
      <c r="D57" s="44">
        <f>'3-App-Conductor'!B32</f>
        <v>0</v>
      </c>
      <c r="E57" s="47">
        <f t="shared" si="0"/>
        <v>1</v>
      </c>
      <c r="F57" s="34">
        <f t="shared" si="1"/>
        <v>26500</v>
      </c>
      <c r="G57" s="48" t="str">
        <f t="shared" si="2"/>
        <v>✅ Sí</v>
      </c>
    </row>
    <row r="58" spans="1:7" ht="15" customHeight="1" x14ac:dyDescent="0.2">
      <c r="A58" s="30" t="s">
        <v>285</v>
      </c>
      <c r="B58" s="46">
        <v>0.08</v>
      </c>
      <c r="C58" s="39">
        <f>ROUND(B37*(1-B58)/500,0)*500</f>
        <v>26000</v>
      </c>
      <c r="D58" s="44">
        <f>'3-App-Conductor'!B32</f>
        <v>0</v>
      </c>
      <c r="E58" s="47">
        <f t="shared" si="0"/>
        <v>1</v>
      </c>
      <c r="F58" s="34">
        <f t="shared" si="1"/>
        <v>26000</v>
      </c>
      <c r="G58" s="48" t="str">
        <f t="shared" si="2"/>
        <v>✅ Sí</v>
      </c>
    </row>
    <row r="59" spans="1:7" ht="15" customHeight="1" x14ac:dyDescent="0.2">
      <c r="A59" s="30" t="s">
        <v>286</v>
      </c>
      <c r="B59" s="46">
        <v>0.12</v>
      </c>
      <c r="C59" s="39">
        <f>ROUND(B37*(1-B59)/500,0)*500</f>
        <v>24500</v>
      </c>
      <c r="D59" s="44">
        <f>'3-App-Conductor'!B32</f>
        <v>0</v>
      </c>
      <c r="E59" s="47">
        <f t="shared" si="0"/>
        <v>1</v>
      </c>
      <c r="F59" s="34">
        <f t="shared" si="1"/>
        <v>24500</v>
      </c>
      <c r="G59" s="48" t="str">
        <f t="shared" si="2"/>
        <v>✅ Sí</v>
      </c>
    </row>
    <row r="60" spans="1:7" ht="15" customHeight="1" x14ac:dyDescent="0.2">
      <c r="A60" s="30" t="s">
        <v>287</v>
      </c>
      <c r="B60" s="46">
        <v>0.16</v>
      </c>
      <c r="C60" s="39">
        <f>ROUND(B37*(1-B60)/500,0)*500</f>
        <v>23500</v>
      </c>
      <c r="D60" s="44">
        <f>'3-App-Conductor'!B32</f>
        <v>0</v>
      </c>
      <c r="E60" s="47">
        <f t="shared" si="0"/>
        <v>1</v>
      </c>
      <c r="F60" s="34">
        <f t="shared" si="1"/>
        <v>23500</v>
      </c>
      <c r="G60" s="48" t="str">
        <f t="shared" si="2"/>
        <v>✅ Sí</v>
      </c>
    </row>
    <row r="61" spans="1:7" ht="15" customHeight="1" x14ac:dyDescent="0.2">
      <c r="A61" s="30" t="s">
        <v>288</v>
      </c>
      <c r="B61" s="46">
        <v>0.2</v>
      </c>
      <c r="C61" s="39">
        <f>ROUND(B37*(1-B61)/500,0)*500</f>
        <v>22500</v>
      </c>
      <c r="D61" s="44">
        <f>'3-App-Conductor'!B32</f>
        <v>0</v>
      </c>
      <c r="E61" s="47">
        <f t="shared" si="0"/>
        <v>1</v>
      </c>
      <c r="F61" s="34">
        <f t="shared" si="1"/>
        <v>22500</v>
      </c>
      <c r="G61" s="48" t="str">
        <f t="shared" si="2"/>
        <v>✅ Sí</v>
      </c>
    </row>
  </sheetData>
  <mergeCells count="7">
    <mergeCell ref="A34:G34"/>
    <mergeCell ref="A54:G54"/>
    <mergeCell ref="A1:G1"/>
    <mergeCell ref="A2:G2"/>
    <mergeCell ref="A4:G4"/>
    <mergeCell ref="A15:G15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4B5"/>
  </sheetPr>
  <dimension ref="A1:G42"/>
  <sheetViews>
    <sheetView showGridLines="0" zoomScaleNormal="100" workbookViewId="0">
      <pane ySplit="2" topLeftCell="A18" activePane="bottomLeft" state="frozen"/>
      <selection pane="bottomLeft" activeCell="B38" sqref="B38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4" width="18" customWidth="1"/>
    <col min="5" max="6" width="16" customWidth="1"/>
    <col min="7" max="7" width="26" customWidth="1"/>
  </cols>
  <sheetData>
    <row r="1" spans="1:7" ht="25.5" customHeight="1" x14ac:dyDescent="0.2">
      <c r="A1" s="106" t="s">
        <v>289</v>
      </c>
      <c r="B1" s="106"/>
      <c r="C1" s="106"/>
      <c r="D1" s="106"/>
      <c r="E1" s="106"/>
      <c r="F1" s="106"/>
      <c r="G1" s="106"/>
    </row>
    <row r="2" spans="1:7" ht="15" customHeight="1" x14ac:dyDescent="0.2">
      <c r="A2" s="105" t="s">
        <v>290</v>
      </c>
      <c r="B2" s="105"/>
      <c r="C2" s="105"/>
      <c r="D2" s="105"/>
      <c r="E2" s="105"/>
      <c r="F2" s="105"/>
      <c r="G2" s="105"/>
    </row>
    <row r="4" spans="1:7" ht="18" customHeight="1" x14ac:dyDescent="0.2">
      <c r="A4" s="104" t="s">
        <v>291</v>
      </c>
      <c r="B4" s="104"/>
      <c r="C4" s="104"/>
      <c r="D4" s="104"/>
      <c r="E4" s="104"/>
      <c r="F4" s="104"/>
      <c r="G4" s="104"/>
    </row>
    <row r="5" spans="1:7" ht="23.25" customHeight="1" x14ac:dyDescent="0.2">
      <c r="A5" s="29" t="s">
        <v>168</v>
      </c>
      <c r="B5" s="29" t="s">
        <v>190</v>
      </c>
      <c r="C5" s="29" t="s">
        <v>292</v>
      </c>
      <c r="D5" s="29" t="s">
        <v>293</v>
      </c>
      <c r="E5" s="29"/>
      <c r="F5" s="29"/>
      <c r="G5" s="29" t="s">
        <v>113</v>
      </c>
    </row>
    <row r="6" spans="1:7" ht="15" customHeight="1" x14ac:dyDescent="0.2">
      <c r="A6" s="30" t="s">
        <v>294</v>
      </c>
      <c r="B6" s="31">
        <v>3</v>
      </c>
      <c r="C6" s="31">
        <v>30</v>
      </c>
      <c r="D6" s="34">
        <f t="shared" ref="D6:D11" si="0">B6*C6</f>
        <v>90</v>
      </c>
      <c r="E6" s="32"/>
      <c r="F6" s="32"/>
      <c r="G6" s="32"/>
    </row>
    <row r="7" spans="1:7" ht="15" customHeight="1" x14ac:dyDescent="0.2">
      <c r="A7" s="30" t="s">
        <v>295</v>
      </c>
      <c r="B7" s="31">
        <v>1</v>
      </c>
      <c r="C7" s="31">
        <v>30</v>
      </c>
      <c r="D7" s="34">
        <f t="shared" si="0"/>
        <v>30</v>
      </c>
      <c r="E7" s="32"/>
      <c r="F7" s="32"/>
      <c r="G7" s="32"/>
    </row>
    <row r="8" spans="1:7" ht="15" customHeight="1" x14ac:dyDescent="0.2">
      <c r="A8" s="30" t="s">
        <v>296</v>
      </c>
      <c r="B8" s="31">
        <v>1</v>
      </c>
      <c r="C8" s="31">
        <v>80</v>
      </c>
      <c r="D8" s="34">
        <f t="shared" si="0"/>
        <v>80</v>
      </c>
      <c r="E8" s="32"/>
      <c r="F8" s="32"/>
      <c r="G8" s="32"/>
    </row>
    <row r="9" spans="1:7" ht="15" customHeight="1" x14ac:dyDescent="0.2">
      <c r="A9" s="30" t="s">
        <v>297</v>
      </c>
      <c r="B9" s="31">
        <v>1</v>
      </c>
      <c r="C9" s="31">
        <v>15</v>
      </c>
      <c r="D9" s="34">
        <f t="shared" si="0"/>
        <v>15</v>
      </c>
      <c r="E9" s="32"/>
      <c r="F9" s="32"/>
      <c r="G9" s="32"/>
    </row>
    <row r="10" spans="1:7" ht="15" customHeight="1" x14ac:dyDescent="0.2">
      <c r="A10" s="30" t="s">
        <v>298</v>
      </c>
      <c r="B10" s="31">
        <v>1</v>
      </c>
      <c r="C10" s="31">
        <v>25</v>
      </c>
      <c r="D10" s="34">
        <f t="shared" si="0"/>
        <v>25</v>
      </c>
      <c r="E10" s="32"/>
      <c r="F10" s="32"/>
      <c r="G10" s="32"/>
    </row>
    <row r="11" spans="1:7" ht="15" customHeight="1" x14ac:dyDescent="0.2">
      <c r="A11" s="30" t="s">
        <v>299</v>
      </c>
      <c r="B11" s="31">
        <v>1</v>
      </c>
      <c r="C11" s="31">
        <v>50</v>
      </c>
      <c r="D11" s="34">
        <f t="shared" si="0"/>
        <v>50</v>
      </c>
      <c r="E11" s="32"/>
      <c r="F11" s="32"/>
      <c r="G11" s="32"/>
    </row>
    <row r="12" spans="1:7" ht="15" customHeight="1" x14ac:dyDescent="0.2">
      <c r="A12" s="30" t="s">
        <v>300</v>
      </c>
      <c r="B12" s="32"/>
      <c r="C12" s="32"/>
      <c r="D12" s="34">
        <f>SUM(D6:D11)*0.05</f>
        <v>14.5</v>
      </c>
      <c r="E12" s="32"/>
      <c r="F12" s="32"/>
      <c r="G12" s="32"/>
    </row>
    <row r="13" spans="1:7" ht="15" customHeight="1" x14ac:dyDescent="0.2">
      <c r="A13" s="35" t="s">
        <v>301</v>
      </c>
      <c r="B13" s="36"/>
      <c r="C13" s="36"/>
      <c r="D13" s="37">
        <f>SUM(D6:D11)+D12</f>
        <v>304.5</v>
      </c>
      <c r="E13" s="36"/>
      <c r="F13" s="36"/>
      <c r="G13" s="36"/>
    </row>
    <row r="15" spans="1:7" ht="18" customHeight="1" x14ac:dyDescent="0.2">
      <c r="A15" s="104" t="s">
        <v>302</v>
      </c>
      <c r="B15" s="104"/>
      <c r="C15" s="104"/>
      <c r="D15" s="104"/>
      <c r="E15" s="104"/>
      <c r="F15" s="104"/>
      <c r="G15" s="104"/>
    </row>
    <row r="16" spans="1:7" ht="15" customHeight="1" x14ac:dyDescent="0.2">
      <c r="A16" s="29" t="s">
        <v>110</v>
      </c>
      <c r="B16" s="29" t="s">
        <v>224</v>
      </c>
      <c r="C16" s="29"/>
      <c r="D16" s="29"/>
      <c r="E16" s="29"/>
      <c r="F16" s="29"/>
      <c r="G16" s="29" t="s">
        <v>113</v>
      </c>
    </row>
    <row r="17" spans="1:7" ht="23.25" customHeight="1" x14ac:dyDescent="0.2">
      <c r="A17" s="30" t="s">
        <v>303</v>
      </c>
      <c r="B17" s="31">
        <v>800</v>
      </c>
      <c r="C17" s="32"/>
      <c r="D17" s="32"/>
      <c r="E17" s="32"/>
      <c r="F17" s="32"/>
      <c r="G17" s="33" t="s">
        <v>304</v>
      </c>
    </row>
    <row r="18" spans="1:7" ht="15" customHeight="1" x14ac:dyDescent="0.2">
      <c r="A18" s="30" t="s">
        <v>305</v>
      </c>
      <c r="B18" s="44">
        <f>'4-Alcoholemia-Soplada'!D13</f>
        <v>304.5</v>
      </c>
      <c r="C18" s="32"/>
    </row>
    <row r="19" spans="1:7" ht="15" customHeight="1" x14ac:dyDescent="0.2">
      <c r="D19" s="32"/>
    </row>
    <row r="20" spans="1:7" ht="15" customHeight="1" x14ac:dyDescent="0.2">
      <c r="E20" s="32"/>
    </row>
    <row r="21" spans="1:7" ht="15" customHeight="1" x14ac:dyDescent="0.2">
      <c r="F21" s="32"/>
    </row>
    <row r="22" spans="1:7" ht="15" customHeight="1" x14ac:dyDescent="0.2">
      <c r="G22" s="32"/>
    </row>
    <row r="23" spans="1:7" ht="23.25" customHeight="1" x14ac:dyDescent="0.2">
      <c r="A23" s="38" t="s">
        <v>306</v>
      </c>
      <c r="B23" s="45">
        <f>IF(B17&gt;0,(B17-B22)/B17,0)</f>
        <v>1</v>
      </c>
      <c r="C23" s="40"/>
    </row>
    <row r="24" spans="1:7" ht="15" customHeight="1" x14ac:dyDescent="0.2">
      <c r="D24" s="40"/>
    </row>
    <row r="25" spans="1:7" ht="15" customHeight="1" x14ac:dyDescent="0.2">
      <c r="E25" s="40"/>
    </row>
    <row r="26" spans="1:7" ht="15" customHeight="1" x14ac:dyDescent="0.2">
      <c r="F26" s="40"/>
    </row>
    <row r="27" spans="1:7" ht="15" customHeight="1" x14ac:dyDescent="0.2">
      <c r="G27" s="40"/>
    </row>
    <row r="28" spans="1:7" ht="15" customHeight="1" x14ac:dyDescent="0.2">
      <c r="A28" s="30" t="s">
        <v>307</v>
      </c>
      <c r="B28" s="34">
        <f>B17-B22</f>
        <v>800</v>
      </c>
      <c r="C28" s="32"/>
    </row>
    <row r="29" spans="1:7" ht="15" customHeight="1" x14ac:dyDescent="0.2">
      <c r="D29" s="32"/>
    </row>
    <row r="30" spans="1:7" ht="15" customHeight="1" x14ac:dyDescent="0.2">
      <c r="E30" s="32"/>
    </row>
    <row r="31" spans="1:7" ht="15" customHeight="1" x14ac:dyDescent="0.2">
      <c r="F31" s="32"/>
    </row>
    <row r="32" spans="1:7" ht="15" customHeight="1" x14ac:dyDescent="0.2">
      <c r="G32" s="32"/>
    </row>
    <row r="33" spans="1:7" ht="23.25" customHeight="1" x14ac:dyDescent="0.2">
      <c r="A33" s="30" t="s">
        <v>308</v>
      </c>
      <c r="B33" s="49">
        <f>ROUND(D13/(1-0.7)/10,0)*10</f>
        <v>1020</v>
      </c>
      <c r="C33" s="32"/>
      <c r="D33" s="32"/>
      <c r="E33" s="32"/>
      <c r="F33" s="32"/>
      <c r="G33" s="50" t="s">
        <v>309</v>
      </c>
    </row>
    <row r="35" spans="1:7" ht="18" customHeight="1" x14ac:dyDescent="0.2">
      <c r="A35" s="104" t="s">
        <v>310</v>
      </c>
      <c r="B35" s="104"/>
      <c r="C35" s="104"/>
      <c r="D35" s="104"/>
      <c r="E35" s="104"/>
      <c r="F35" s="104"/>
      <c r="G35" s="104"/>
    </row>
    <row r="36" spans="1:7" ht="15" customHeight="1" x14ac:dyDescent="0.2">
      <c r="A36" s="29" t="s">
        <v>168</v>
      </c>
      <c r="B36" s="29" t="s">
        <v>311</v>
      </c>
      <c r="C36" s="29"/>
      <c r="D36" s="29"/>
      <c r="E36" s="29"/>
      <c r="F36" s="29"/>
      <c r="G36" s="29" t="s">
        <v>113</v>
      </c>
    </row>
    <row r="37" spans="1:7" ht="15" customHeight="1" x14ac:dyDescent="0.2">
      <c r="A37" s="30" t="s">
        <v>312</v>
      </c>
      <c r="B37" s="31">
        <v>30000</v>
      </c>
      <c r="C37" s="32"/>
      <c r="D37" s="32"/>
      <c r="E37" s="32"/>
      <c r="F37" s="32"/>
      <c r="G37" s="32"/>
    </row>
    <row r="38" spans="1:7" ht="15" customHeight="1" x14ac:dyDescent="0.2">
      <c r="A38" s="30" t="s">
        <v>313</v>
      </c>
      <c r="B38" s="31">
        <v>8000</v>
      </c>
      <c r="C38" s="32"/>
      <c r="D38" s="32"/>
      <c r="E38" s="32"/>
      <c r="F38" s="32"/>
      <c r="G38" s="32"/>
    </row>
    <row r="39" spans="1:7" ht="15" customHeight="1" x14ac:dyDescent="0.2">
      <c r="A39" s="30" t="s">
        <v>314</v>
      </c>
      <c r="B39" s="31">
        <v>5000</v>
      </c>
      <c r="C39" s="32"/>
      <c r="D39" s="32"/>
      <c r="E39" s="32"/>
      <c r="F39" s="32"/>
      <c r="G39" s="32"/>
    </row>
    <row r="40" spans="1:7" ht="15" customHeight="1" x14ac:dyDescent="0.2">
      <c r="A40" s="35" t="s">
        <v>315</v>
      </c>
      <c r="B40" s="37">
        <f>SUM(B37:B39)</f>
        <v>43000</v>
      </c>
      <c r="C40" s="36"/>
      <c r="D40" s="36"/>
      <c r="E40" s="36"/>
      <c r="F40" s="36"/>
      <c r="G40" s="36"/>
    </row>
    <row r="41" spans="1:7" ht="15" customHeight="1" x14ac:dyDescent="0.2">
      <c r="A41" s="30" t="s">
        <v>316</v>
      </c>
      <c r="B41" s="31">
        <v>250000</v>
      </c>
      <c r="C41" s="32"/>
      <c r="D41" s="32"/>
      <c r="E41" s="32"/>
      <c r="F41" s="32"/>
      <c r="G41" s="33" t="s">
        <v>317</v>
      </c>
    </row>
    <row r="42" spans="1:7" ht="15" customHeight="1" x14ac:dyDescent="0.2">
      <c r="A42" s="38" t="s">
        <v>318</v>
      </c>
      <c r="B42" s="45">
        <f>IF(B41&gt;0,(B41-B40)/B41,0)</f>
        <v>0.82799999999999996</v>
      </c>
      <c r="C42" s="40"/>
      <c r="D42" s="40"/>
      <c r="E42" s="40"/>
      <c r="F42" s="40"/>
      <c r="G42" s="40"/>
    </row>
  </sheetData>
  <mergeCells count="5">
    <mergeCell ref="A1:G1"/>
    <mergeCell ref="A2:G2"/>
    <mergeCell ref="A4:G4"/>
    <mergeCell ref="A15:G15"/>
    <mergeCell ref="A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74A6"/>
  </sheetPr>
  <dimension ref="A1:F27"/>
  <sheetViews>
    <sheetView showGridLines="0" zoomScale="114" zoomScaleNormal="114" workbookViewId="0">
      <pane ySplit="2" topLeftCell="A3" activePane="bottomLeft" state="frozen"/>
      <selection pane="bottomLeft" activeCell="B14" sqref="B14"/>
    </sheetView>
  </sheetViews>
  <sheetFormatPr baseColWidth="10" defaultColWidth="8.6640625" defaultRowHeight="15" x14ac:dyDescent="0.2"/>
  <cols>
    <col min="1" max="1" width="38" customWidth="1"/>
    <col min="2" max="5" width="18" customWidth="1"/>
    <col min="6" max="6" width="26" customWidth="1"/>
  </cols>
  <sheetData>
    <row r="1" spans="1:6" ht="25.5" customHeight="1" x14ac:dyDescent="0.2">
      <c r="A1" s="106" t="s">
        <v>319</v>
      </c>
      <c r="B1" s="106"/>
      <c r="C1" s="106"/>
      <c r="D1" s="106"/>
      <c r="E1" s="106"/>
      <c r="F1" s="106"/>
    </row>
    <row r="2" spans="1:6" ht="15" customHeight="1" x14ac:dyDescent="0.2">
      <c r="A2" s="105" t="s">
        <v>320</v>
      </c>
      <c r="B2" s="105"/>
      <c r="C2" s="105"/>
      <c r="D2" s="105"/>
      <c r="E2" s="105"/>
      <c r="F2" s="105"/>
    </row>
    <row r="4" spans="1:6" ht="18" customHeight="1" x14ac:dyDescent="0.2">
      <c r="A4" s="104" t="s">
        <v>321</v>
      </c>
      <c r="B4" s="104"/>
      <c r="C4" s="104"/>
      <c r="D4" s="104"/>
      <c r="E4" s="104"/>
      <c r="F4" s="104"/>
    </row>
    <row r="5" spans="1:6" ht="15" customHeight="1" x14ac:dyDescent="0.2">
      <c r="A5" s="29" t="s">
        <v>110</v>
      </c>
      <c r="B5" s="29" t="s">
        <v>322</v>
      </c>
      <c r="C5" s="29" t="s">
        <v>323</v>
      </c>
      <c r="D5" s="29" t="s">
        <v>324</v>
      </c>
      <c r="E5" s="29" t="s">
        <v>325</v>
      </c>
      <c r="F5" s="29" t="s">
        <v>113</v>
      </c>
    </row>
    <row r="6" spans="1:6" ht="15" customHeight="1" x14ac:dyDescent="0.2">
      <c r="A6" s="30" t="s">
        <v>326</v>
      </c>
      <c r="B6" s="31">
        <v>5</v>
      </c>
      <c r="C6" s="31">
        <v>25</v>
      </c>
      <c r="D6" s="31">
        <v>100</v>
      </c>
      <c r="E6" s="31">
        <v>350</v>
      </c>
      <c r="F6" s="32"/>
    </row>
    <row r="7" spans="1:6" ht="15" customHeight="1" x14ac:dyDescent="0.2">
      <c r="A7" s="30" t="s">
        <v>327</v>
      </c>
      <c r="B7" s="31">
        <v>20</v>
      </c>
      <c r="C7" s="31">
        <v>100</v>
      </c>
      <c r="D7" s="31">
        <v>350</v>
      </c>
      <c r="E7" s="31">
        <v>900</v>
      </c>
      <c r="F7" s="32"/>
    </row>
    <row r="8" spans="1:6" ht="15" customHeight="1" x14ac:dyDescent="0.2">
      <c r="A8" s="30" t="s">
        <v>328</v>
      </c>
      <c r="B8" s="31">
        <v>5</v>
      </c>
      <c r="C8" s="31">
        <v>25</v>
      </c>
      <c r="D8" s="31">
        <v>100</v>
      </c>
      <c r="E8" s="31">
        <v>350</v>
      </c>
      <c r="F8" s="32"/>
    </row>
    <row r="9" spans="1:6" ht="15" customHeight="1" x14ac:dyDescent="0.2">
      <c r="A9" s="30" t="s">
        <v>329</v>
      </c>
      <c r="B9" s="31">
        <v>800</v>
      </c>
      <c r="C9" s="31">
        <v>700</v>
      </c>
      <c r="D9" s="31">
        <v>600</v>
      </c>
      <c r="E9" s="31">
        <v>500</v>
      </c>
      <c r="F9" s="32"/>
    </row>
    <row r="11" spans="1:6" ht="18" customHeight="1" x14ac:dyDescent="0.2">
      <c r="A11" s="104" t="s">
        <v>330</v>
      </c>
      <c r="B11" s="104"/>
      <c r="C11" s="104"/>
      <c r="D11" s="104"/>
      <c r="E11" s="104"/>
      <c r="F11" s="104"/>
    </row>
    <row r="12" spans="1:6" ht="15" customHeight="1" x14ac:dyDescent="0.2">
      <c r="A12" s="29" t="s">
        <v>331</v>
      </c>
      <c r="B12" s="29" t="s">
        <v>322</v>
      </c>
      <c r="C12" s="29" t="s">
        <v>323</v>
      </c>
      <c r="D12" s="29" t="s">
        <v>324</v>
      </c>
      <c r="E12" s="29" t="s">
        <v>325</v>
      </c>
      <c r="F12" s="29" t="s">
        <v>255</v>
      </c>
    </row>
    <row r="13" spans="1:6" ht="23.25" customHeight="1" x14ac:dyDescent="0.2">
      <c r="A13" s="30" t="s">
        <v>332</v>
      </c>
      <c r="B13" s="34">
        <f>3*B8*2</f>
        <v>30</v>
      </c>
      <c r="C13" s="34">
        <f>3*C8*2</f>
        <v>150</v>
      </c>
      <c r="D13" s="34">
        <f>3*D8*2</f>
        <v>600</v>
      </c>
      <c r="E13" s="34">
        <f>3*E8*2</f>
        <v>2100</v>
      </c>
      <c r="F13" s="33" t="s">
        <v>209</v>
      </c>
    </row>
    <row r="14" spans="1:6" ht="23.25" customHeight="1" x14ac:dyDescent="0.2">
      <c r="A14" s="30" t="s">
        <v>333</v>
      </c>
      <c r="B14" s="34">
        <f>B7*30</f>
        <v>600</v>
      </c>
      <c r="C14" s="34">
        <f>C7*30</f>
        <v>3000</v>
      </c>
      <c r="D14" s="34">
        <f>D7*30</f>
        <v>10500</v>
      </c>
      <c r="E14" s="34">
        <f>E7*30</f>
        <v>27000</v>
      </c>
      <c r="F14" s="33" t="s">
        <v>209</v>
      </c>
    </row>
    <row r="15" spans="1:6" ht="23.25" customHeight="1" x14ac:dyDescent="0.2">
      <c r="A15" s="30" t="s">
        <v>334</v>
      </c>
      <c r="B15" s="34">
        <f>B7*80</f>
        <v>1600</v>
      </c>
      <c r="C15" s="34">
        <f>C7*80</f>
        <v>8000</v>
      </c>
      <c r="D15" s="34">
        <f>D7*80</f>
        <v>28000</v>
      </c>
      <c r="E15" s="34">
        <f>E7*80</f>
        <v>72000</v>
      </c>
      <c r="F15" s="33" t="s">
        <v>209</v>
      </c>
    </row>
    <row r="16" spans="1:6" ht="15" customHeight="1" x14ac:dyDescent="0.2">
      <c r="A16" s="30" t="s">
        <v>335</v>
      </c>
      <c r="B16" s="31">
        <v>15000</v>
      </c>
      <c r="C16" s="31">
        <v>35000</v>
      </c>
      <c r="D16" s="31">
        <v>80000</v>
      </c>
      <c r="E16" s="31">
        <v>150000</v>
      </c>
      <c r="F16" s="33" t="s">
        <v>209</v>
      </c>
    </row>
    <row r="17" spans="1:6" ht="15" customHeight="1" x14ac:dyDescent="0.2">
      <c r="A17" s="30" t="s">
        <v>299</v>
      </c>
      <c r="B17" s="31">
        <v>10000</v>
      </c>
      <c r="C17" s="31">
        <v>25000</v>
      </c>
      <c r="D17" s="31">
        <v>60000</v>
      </c>
      <c r="E17" s="31">
        <v>120000</v>
      </c>
      <c r="F17" s="33" t="s">
        <v>209</v>
      </c>
    </row>
    <row r="18" spans="1:6" ht="15" customHeight="1" x14ac:dyDescent="0.2">
      <c r="A18" s="30" t="s">
        <v>336</v>
      </c>
      <c r="B18" s="34">
        <f>SUM(B13:B17)*0.05</f>
        <v>1361.5</v>
      </c>
      <c r="C18" s="34">
        <f>SUM(C13:C17)*0.05</f>
        <v>3557.5</v>
      </c>
      <c r="D18" s="34">
        <f>SUM(D13:D17)*0.05</f>
        <v>8955</v>
      </c>
      <c r="E18" s="34">
        <f>SUM(E13:E17)*0.05</f>
        <v>18555</v>
      </c>
      <c r="F18" s="33" t="s">
        <v>209</v>
      </c>
    </row>
    <row r="19" spans="1:6" ht="15" customHeight="1" x14ac:dyDescent="0.2">
      <c r="A19" s="35" t="s">
        <v>337</v>
      </c>
      <c r="B19" s="37">
        <f>SUM(B13:B18)</f>
        <v>28591.5</v>
      </c>
      <c r="C19" s="37">
        <f>SUM(C13:C18)</f>
        <v>74707.5</v>
      </c>
      <c r="D19" s="37">
        <f>SUM(D13:D18)</f>
        <v>188055</v>
      </c>
      <c r="E19" s="37">
        <f>SUM(E13:E18)</f>
        <v>389655</v>
      </c>
      <c r="F19" s="36"/>
    </row>
    <row r="21" spans="1:6" ht="18" customHeight="1" x14ac:dyDescent="0.2">
      <c r="A21" s="104" t="s">
        <v>338</v>
      </c>
      <c r="B21" s="104"/>
      <c r="C21" s="104"/>
      <c r="D21" s="104"/>
      <c r="E21" s="104"/>
      <c r="F21" s="104"/>
    </row>
    <row r="22" spans="1:6" ht="15" customHeight="1" x14ac:dyDescent="0.2">
      <c r="A22" s="29" t="s">
        <v>110</v>
      </c>
      <c r="B22" s="29" t="s">
        <v>322</v>
      </c>
      <c r="C22" s="29" t="s">
        <v>323</v>
      </c>
      <c r="D22" s="29" t="s">
        <v>324</v>
      </c>
      <c r="E22" s="29" t="s">
        <v>325</v>
      </c>
      <c r="F22" s="29"/>
    </row>
    <row r="23" spans="1:6" ht="15" customHeight="1" x14ac:dyDescent="0.2">
      <c r="A23" s="4" t="s">
        <v>339</v>
      </c>
      <c r="B23" s="31">
        <v>80000</v>
      </c>
      <c r="C23" s="31">
        <v>200000</v>
      </c>
      <c r="D23" s="31">
        <v>500000</v>
      </c>
      <c r="E23" s="31">
        <v>1200000</v>
      </c>
      <c r="F23" s="32"/>
    </row>
    <row r="24" spans="1:6" ht="15" customHeight="1" x14ac:dyDescent="0.2">
      <c r="A24" s="30" t="s">
        <v>340</v>
      </c>
      <c r="B24" s="44">
        <f>'5-Alcoholemia-Mensual'!B19</f>
        <v>28591.5</v>
      </c>
      <c r="C24" s="44">
        <f>'5-Alcoholemia-Mensual'!C19</f>
        <v>74707.5</v>
      </c>
      <c r="D24" s="44">
        <f>'5-Alcoholemia-Mensual'!D19</f>
        <v>188055</v>
      </c>
      <c r="E24" s="44">
        <f>'5-Alcoholemia-Mensual'!E19</f>
        <v>389655</v>
      </c>
      <c r="F24" s="32"/>
    </row>
    <row r="25" spans="1:6" ht="15" customHeight="1" x14ac:dyDescent="0.2">
      <c r="A25" s="38" t="s">
        <v>341</v>
      </c>
      <c r="B25" s="45">
        <f>IF(B23&gt;0,(B23-B24)/B23,0)</f>
        <v>0.64260625000000005</v>
      </c>
      <c r="C25" s="45">
        <f>IF(C23&gt;0,(C23-C24)/C23,0)</f>
        <v>0.62646250000000003</v>
      </c>
      <c r="D25" s="45">
        <f>IF(D23&gt;0,(D23-D24)/D23,0)</f>
        <v>0.62388999999999994</v>
      </c>
      <c r="E25" s="45">
        <f>IF(E23&gt;0,(E23-E24)/E23,0)</f>
        <v>0.67528750000000004</v>
      </c>
      <c r="F25" s="40"/>
    </row>
    <row r="26" spans="1:6" ht="15" customHeight="1" x14ac:dyDescent="0.2">
      <c r="A26" s="30" t="s">
        <v>342</v>
      </c>
      <c r="B26" s="51">
        <f>ROUND(B19/(1-0.7)/5000,0)*5000</f>
        <v>95000</v>
      </c>
      <c r="C26" s="51">
        <f>ROUND(C19/(1-0.7)/5000,0)*5000</f>
        <v>250000</v>
      </c>
      <c r="D26" s="51">
        <f>ROUND(D19/(1-0.7)/5000,0)*5000</f>
        <v>625000</v>
      </c>
      <c r="E26" s="51">
        <f>ROUND(E19/(1-0.7)/5000,0)*5000</f>
        <v>1300000</v>
      </c>
      <c r="F26" s="52"/>
    </row>
    <row r="27" spans="1:6" ht="15" customHeight="1" x14ac:dyDescent="0.2">
      <c r="A27" s="30" t="s">
        <v>343</v>
      </c>
      <c r="B27" s="34">
        <f>B23-B24</f>
        <v>51408.5</v>
      </c>
      <c r="C27" s="34">
        <f>C23-C24</f>
        <v>125292.5</v>
      </c>
      <c r="D27" s="34">
        <f>D23-D24</f>
        <v>311945</v>
      </c>
      <c r="E27" s="34">
        <f>E23-E24</f>
        <v>810345</v>
      </c>
      <c r="F27" s="32"/>
    </row>
  </sheetData>
  <mergeCells count="5">
    <mergeCell ref="A1:F1"/>
    <mergeCell ref="A2:F2"/>
    <mergeCell ref="A4:F4"/>
    <mergeCell ref="A11:F11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F32"/>
  <sheetViews>
    <sheetView showGridLines="0" zoomScaleNormal="100" workbookViewId="0">
      <pane ySplit="2" topLeftCell="A8" activePane="bottomLeft" state="frozen"/>
      <selection pane="bottomLeft" activeCell="C26" sqref="C26"/>
    </sheetView>
  </sheetViews>
  <sheetFormatPr baseColWidth="10" defaultColWidth="8.6640625" defaultRowHeight="15" x14ac:dyDescent="0.2"/>
  <cols>
    <col min="1" max="1" width="40" customWidth="1"/>
    <col min="2" max="5" width="18" customWidth="1"/>
    <col min="6" max="6" width="26" customWidth="1"/>
  </cols>
  <sheetData>
    <row r="1" spans="1:6" ht="25.5" customHeight="1" x14ac:dyDescent="0.2">
      <c r="A1" s="106" t="s">
        <v>344</v>
      </c>
      <c r="B1" s="106"/>
      <c r="C1" s="106"/>
      <c r="D1" s="106"/>
      <c r="E1" s="106"/>
      <c r="F1" s="106"/>
    </row>
    <row r="2" spans="1:6" ht="15" customHeight="1" x14ac:dyDescent="0.2">
      <c r="A2" s="105" t="s">
        <v>345</v>
      </c>
      <c r="B2" s="105"/>
      <c r="C2" s="105"/>
      <c r="D2" s="105"/>
      <c r="E2" s="105"/>
      <c r="F2" s="105"/>
    </row>
    <row r="4" spans="1:6" ht="18" customHeight="1" x14ac:dyDescent="0.2">
      <c r="A4" s="104" t="s">
        <v>346</v>
      </c>
      <c r="B4" s="104"/>
      <c r="C4" s="104"/>
      <c r="D4" s="104"/>
      <c r="E4" s="104"/>
      <c r="F4" s="104"/>
    </row>
    <row r="5" spans="1:6" ht="15" customHeight="1" x14ac:dyDescent="0.2">
      <c r="A5" s="29" t="s">
        <v>347</v>
      </c>
      <c r="B5" s="29" t="s">
        <v>348</v>
      </c>
      <c r="C5" s="29" t="s">
        <v>349</v>
      </c>
      <c r="D5" s="29" t="s">
        <v>350</v>
      </c>
      <c r="E5" s="29"/>
      <c r="F5" s="29" t="s">
        <v>113</v>
      </c>
    </row>
    <row r="6" spans="1:6" ht="23.25" customHeight="1" x14ac:dyDescent="0.2">
      <c r="A6" s="53" t="s">
        <v>322</v>
      </c>
      <c r="B6" s="30" t="s">
        <v>351</v>
      </c>
      <c r="C6" s="30" t="s">
        <v>352</v>
      </c>
      <c r="D6" s="30" t="s">
        <v>353</v>
      </c>
      <c r="E6" s="32"/>
      <c r="F6" s="33" t="s">
        <v>354</v>
      </c>
    </row>
    <row r="7" spans="1:6" ht="23.25" customHeight="1" x14ac:dyDescent="0.2">
      <c r="A7" s="53" t="s">
        <v>323</v>
      </c>
      <c r="B7" s="30" t="s">
        <v>355</v>
      </c>
      <c r="C7" s="30" t="s">
        <v>356</v>
      </c>
      <c r="D7" s="30" t="s">
        <v>357</v>
      </c>
      <c r="E7" s="32"/>
      <c r="F7" s="33" t="s">
        <v>354</v>
      </c>
    </row>
    <row r="8" spans="1:6" ht="23.25" customHeight="1" x14ac:dyDescent="0.2">
      <c r="A8" s="53" t="s">
        <v>324</v>
      </c>
      <c r="B8" s="30" t="s">
        <v>358</v>
      </c>
      <c r="C8" s="30" t="s">
        <v>359</v>
      </c>
      <c r="D8" s="30" t="s">
        <v>360</v>
      </c>
      <c r="E8" s="32"/>
      <c r="F8" s="33" t="s">
        <v>354</v>
      </c>
    </row>
    <row r="9" spans="1:6" ht="23.25" customHeight="1" x14ac:dyDescent="0.2">
      <c r="A9" s="53" t="s">
        <v>325</v>
      </c>
      <c r="B9" s="30" t="s">
        <v>361</v>
      </c>
      <c r="C9" s="30" t="s">
        <v>362</v>
      </c>
      <c r="D9" s="30" t="s">
        <v>363</v>
      </c>
      <c r="E9" s="32"/>
      <c r="F9" s="33" t="s">
        <v>354</v>
      </c>
    </row>
    <row r="11" spans="1:6" ht="18" customHeight="1" x14ac:dyDescent="0.2">
      <c r="A11" s="104" t="s">
        <v>364</v>
      </c>
      <c r="B11" s="104"/>
      <c r="C11" s="104"/>
      <c r="D11" s="104"/>
      <c r="E11" s="104"/>
      <c r="F11" s="104"/>
    </row>
    <row r="12" spans="1:6" ht="15" customHeight="1" x14ac:dyDescent="0.2">
      <c r="A12" s="29" t="s">
        <v>331</v>
      </c>
      <c r="B12" s="29" t="s">
        <v>322</v>
      </c>
      <c r="C12" s="29" t="s">
        <v>323</v>
      </c>
      <c r="D12" s="29" t="s">
        <v>324</v>
      </c>
      <c r="E12" s="29" t="s">
        <v>325</v>
      </c>
      <c r="F12" s="29" t="s">
        <v>255</v>
      </c>
    </row>
    <row r="13" spans="1:6" ht="15" customHeight="1" x14ac:dyDescent="0.2">
      <c r="A13" s="30" t="s">
        <v>365</v>
      </c>
      <c r="B13" s="31">
        <v>500</v>
      </c>
      <c r="C13" s="31">
        <v>1500</v>
      </c>
      <c r="D13" s="31">
        <v>6000</v>
      </c>
      <c r="E13" s="31">
        <v>25000</v>
      </c>
      <c r="F13" s="33" t="s">
        <v>209</v>
      </c>
    </row>
    <row r="14" spans="1:6" ht="15" customHeight="1" x14ac:dyDescent="0.2">
      <c r="A14" s="30" t="s">
        <v>366</v>
      </c>
      <c r="B14" s="31">
        <v>8000</v>
      </c>
      <c r="C14" s="31">
        <v>20000</v>
      </c>
      <c r="D14" s="31">
        <v>40000</v>
      </c>
      <c r="E14" s="31">
        <v>80000</v>
      </c>
      <c r="F14" s="33" t="s">
        <v>209</v>
      </c>
    </row>
    <row r="15" spans="1:6" ht="15" customHeight="1" x14ac:dyDescent="0.2">
      <c r="A15" s="30" t="s">
        <v>367</v>
      </c>
      <c r="B15" s="31">
        <v>10000</v>
      </c>
      <c r="C15" s="31">
        <v>25000</v>
      </c>
      <c r="D15" s="31">
        <v>60000</v>
      </c>
      <c r="E15" s="31">
        <v>120000</v>
      </c>
      <c r="F15" s="33" t="s">
        <v>209</v>
      </c>
    </row>
    <row r="16" spans="1:6" ht="15" customHeight="1" x14ac:dyDescent="0.2">
      <c r="A16" s="30" t="s">
        <v>368</v>
      </c>
      <c r="B16" s="31">
        <v>5000</v>
      </c>
      <c r="C16" s="31">
        <v>12000</v>
      </c>
      <c r="D16" s="31">
        <v>28000</v>
      </c>
      <c r="E16" s="31">
        <v>55000</v>
      </c>
      <c r="F16" s="33" t="s">
        <v>209</v>
      </c>
    </row>
    <row r="17" spans="1:6" ht="15" customHeight="1" x14ac:dyDescent="0.2">
      <c r="A17" s="30" t="s">
        <v>369</v>
      </c>
      <c r="B17" s="31">
        <v>3000</v>
      </c>
      <c r="C17" s="31">
        <v>8000</v>
      </c>
      <c r="D17" s="31">
        <v>20000</v>
      </c>
      <c r="E17" s="31">
        <v>45000</v>
      </c>
      <c r="F17" s="33" t="s">
        <v>209</v>
      </c>
    </row>
    <row r="18" spans="1:6" ht="15" customHeight="1" x14ac:dyDescent="0.2">
      <c r="A18" s="30" t="s">
        <v>336</v>
      </c>
      <c r="B18" s="34">
        <f>SUM(B13:B17)*0.05</f>
        <v>1325</v>
      </c>
      <c r="C18" s="34">
        <f>SUM(C13:C17)*0.05</f>
        <v>3325</v>
      </c>
      <c r="D18" s="34">
        <f>SUM(D13:D17)*0.05</f>
        <v>7700</v>
      </c>
      <c r="E18" s="34">
        <f>SUM(E13:E17)*0.05</f>
        <v>16250</v>
      </c>
      <c r="F18" s="33" t="s">
        <v>209</v>
      </c>
    </row>
    <row r="19" spans="1:6" ht="15" customHeight="1" x14ac:dyDescent="0.2">
      <c r="A19" s="35" t="s">
        <v>370</v>
      </c>
      <c r="B19" s="37">
        <f>SUM(B13:B18)</f>
        <v>27825</v>
      </c>
      <c r="C19" s="37">
        <f>SUM(C13:C18)</f>
        <v>69825</v>
      </c>
      <c r="D19" s="37">
        <f>SUM(D13:D18)</f>
        <v>161700</v>
      </c>
      <c r="E19" s="37">
        <f>SUM(E13:E18)</f>
        <v>341250</v>
      </c>
      <c r="F19" s="36"/>
    </row>
    <row r="21" spans="1:6" ht="18" customHeight="1" x14ac:dyDescent="0.2">
      <c r="A21" s="104" t="s">
        <v>371</v>
      </c>
      <c r="B21" s="104"/>
      <c r="C21" s="104"/>
      <c r="D21" s="104"/>
      <c r="E21" s="104"/>
      <c r="F21" s="104"/>
    </row>
    <row r="22" spans="1:6" ht="15" customHeight="1" x14ac:dyDescent="0.2">
      <c r="A22" s="29" t="s">
        <v>110</v>
      </c>
      <c r="B22" s="29" t="s">
        <v>322</v>
      </c>
      <c r="C22" s="29" t="s">
        <v>323</v>
      </c>
      <c r="D22" s="29" t="s">
        <v>324</v>
      </c>
      <c r="E22" s="29" t="s">
        <v>325</v>
      </c>
      <c r="F22" s="29"/>
    </row>
    <row r="23" spans="1:6" ht="15" customHeight="1" x14ac:dyDescent="0.2">
      <c r="A23" s="30" t="s">
        <v>372</v>
      </c>
      <c r="B23" s="31">
        <v>80000</v>
      </c>
      <c r="C23" s="31">
        <v>190000</v>
      </c>
      <c r="D23" s="31">
        <v>480000</v>
      </c>
      <c r="E23" s="31">
        <v>1100000</v>
      </c>
      <c r="F23" s="32"/>
    </row>
    <row r="24" spans="1:6" ht="15" customHeight="1" x14ac:dyDescent="0.2">
      <c r="A24" s="30" t="s">
        <v>373</v>
      </c>
      <c r="B24" s="44">
        <f>'6-PESV'!B19</f>
        <v>27825</v>
      </c>
      <c r="C24" s="44">
        <f>'6-PESV'!C19</f>
        <v>69825</v>
      </c>
      <c r="D24" s="44">
        <f>'6-PESV'!D19</f>
        <v>161700</v>
      </c>
      <c r="E24" s="44">
        <f>'6-PESV'!E19</f>
        <v>341250</v>
      </c>
      <c r="F24" s="32"/>
    </row>
    <row r="25" spans="1:6" ht="15" customHeight="1" x14ac:dyDescent="0.2">
      <c r="A25" s="38" t="s">
        <v>374</v>
      </c>
      <c r="B25" s="45">
        <f>IF(B23&gt;0,(B23-B24)/B23,0)</f>
        <v>0.65218750000000003</v>
      </c>
      <c r="C25" s="45">
        <f>IF(C23&gt;0,(C23-C24)/C23,0)</f>
        <v>0.63249999999999995</v>
      </c>
      <c r="D25" s="45">
        <f>IF(D23&gt;0,(D23-D24)/D23,0)</f>
        <v>0.66312499999999996</v>
      </c>
      <c r="E25" s="45">
        <f>IF(E23&gt;0,(E23-E24)/E23,0)</f>
        <v>0.68977272727272732</v>
      </c>
      <c r="F25" s="40"/>
    </row>
    <row r="26" spans="1:6" ht="15" customHeight="1" x14ac:dyDescent="0.2">
      <c r="A26" s="30" t="s">
        <v>375</v>
      </c>
      <c r="B26" s="51">
        <f>ROUND(B19/(1-0.7)/5000,0)*5000</f>
        <v>95000</v>
      </c>
      <c r="C26" s="51">
        <f>ROUND(C19/(1-0.7)/5000,0)*5000</f>
        <v>235000</v>
      </c>
      <c r="D26" s="51">
        <f>ROUND(D19/(1-0.7)/5000,0)*5000</f>
        <v>540000</v>
      </c>
      <c r="E26" s="51">
        <f>ROUND(E19/(1-0.7)/5000,0)*5000</f>
        <v>1140000</v>
      </c>
      <c r="F26" s="52"/>
    </row>
    <row r="28" spans="1:6" ht="18" customHeight="1" x14ac:dyDescent="0.2">
      <c r="A28" s="107" t="s">
        <v>376</v>
      </c>
      <c r="B28" s="107"/>
      <c r="C28" s="107"/>
      <c r="D28" s="107"/>
      <c r="E28" s="107"/>
      <c r="F28" s="107"/>
    </row>
    <row r="29" spans="1:6" ht="15" customHeight="1" x14ac:dyDescent="0.2">
      <c r="A29" s="108" t="s">
        <v>377</v>
      </c>
      <c r="B29" s="108"/>
      <c r="C29" s="108"/>
      <c r="D29" s="108"/>
      <c r="E29" s="108"/>
      <c r="F29" s="108"/>
    </row>
    <row r="30" spans="1:6" ht="15" customHeight="1" x14ac:dyDescent="0.2">
      <c r="A30" s="29" t="s">
        <v>110</v>
      </c>
      <c r="B30" s="29" t="s">
        <v>322</v>
      </c>
      <c r="C30" s="29" t="s">
        <v>323</v>
      </c>
      <c r="D30" s="29" t="s">
        <v>324</v>
      </c>
      <c r="E30" s="29" t="s">
        <v>325</v>
      </c>
      <c r="F30" s="29"/>
    </row>
    <row r="31" spans="1:6" ht="15" customHeight="1" x14ac:dyDescent="0.2">
      <c r="A31" s="30" t="s">
        <v>378</v>
      </c>
      <c r="B31" s="46">
        <v>0.4</v>
      </c>
      <c r="C31" s="46">
        <v>0.4</v>
      </c>
      <c r="D31" s="46">
        <v>0.4</v>
      </c>
      <c r="E31" s="46">
        <v>0.4</v>
      </c>
      <c r="F31" s="32"/>
    </row>
    <row r="32" spans="1:6" ht="15" customHeight="1" x14ac:dyDescent="0.2">
      <c r="A32" s="54" t="s">
        <v>379</v>
      </c>
      <c r="B32" s="55">
        <f>ROUND(B23*(1+B31)/5000,0)*5000</f>
        <v>110000</v>
      </c>
      <c r="C32" s="55">
        <f>ROUND(C23*(1+C31)/5000,0)*5000</f>
        <v>265000</v>
      </c>
      <c r="D32" s="55">
        <f>ROUND(D23*(1+D31)/5000,0)*5000</f>
        <v>670000</v>
      </c>
      <c r="E32" s="55">
        <f>ROUND(E23*(1+E31)/5000,0)*5000</f>
        <v>1540000</v>
      </c>
      <c r="F32" s="56"/>
    </row>
  </sheetData>
  <mergeCells count="7">
    <mergeCell ref="A28:F28"/>
    <mergeCell ref="A29:F29"/>
    <mergeCell ref="A1:F1"/>
    <mergeCell ref="A2:F2"/>
    <mergeCell ref="A4:F4"/>
    <mergeCell ref="A11:F11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5400"/>
  </sheetPr>
  <dimension ref="A1:H25"/>
  <sheetViews>
    <sheetView showGridLines="0" zoomScaleNormal="100" workbookViewId="0">
      <pane ySplit="2" topLeftCell="A3" activePane="bottomLeft" state="frozen"/>
      <selection pane="bottomLeft" activeCell="B11" sqref="B11"/>
    </sheetView>
  </sheetViews>
  <sheetFormatPr baseColWidth="10" defaultColWidth="8.6640625" defaultRowHeight="15" x14ac:dyDescent="0.2"/>
  <cols>
    <col min="1" max="1" width="36" customWidth="1"/>
    <col min="2" max="5" width="18" customWidth="1"/>
    <col min="6" max="7" width="14" customWidth="1"/>
    <col min="8" max="8" width="24" customWidth="1"/>
  </cols>
  <sheetData>
    <row r="1" spans="1:8" ht="25.5" customHeight="1" x14ac:dyDescent="0.2">
      <c r="A1" s="106" t="s">
        <v>380</v>
      </c>
      <c r="B1" s="106"/>
      <c r="C1" s="106"/>
      <c r="D1" s="106"/>
      <c r="E1" s="106"/>
      <c r="F1" s="106"/>
      <c r="G1" s="106"/>
      <c r="H1" s="106"/>
    </row>
    <row r="2" spans="1:8" ht="15" customHeight="1" x14ac:dyDescent="0.2">
      <c r="A2" s="105" t="s">
        <v>381</v>
      </c>
      <c r="B2" s="105"/>
      <c r="C2" s="105"/>
      <c r="D2" s="105"/>
      <c r="E2" s="105"/>
      <c r="F2" s="105"/>
      <c r="G2" s="105"/>
      <c r="H2" s="105"/>
    </row>
    <row r="4" spans="1:8" ht="18" customHeight="1" x14ac:dyDescent="0.2">
      <c r="A4" s="104" t="s">
        <v>382</v>
      </c>
      <c r="B4" s="104"/>
      <c r="C4" s="104"/>
      <c r="D4" s="104"/>
      <c r="E4" s="104"/>
      <c r="F4" s="104"/>
      <c r="G4" s="104"/>
      <c r="H4" s="104"/>
    </row>
    <row r="5" spans="1:8" ht="15" customHeight="1" x14ac:dyDescent="0.2">
      <c r="A5" s="29" t="s">
        <v>110</v>
      </c>
      <c r="B5" s="29" t="s">
        <v>224</v>
      </c>
      <c r="C5" s="29" t="s">
        <v>255</v>
      </c>
      <c r="D5" s="29"/>
      <c r="E5" s="29"/>
      <c r="F5" s="29"/>
      <c r="G5" s="29"/>
      <c r="H5" s="29" t="s">
        <v>113</v>
      </c>
    </row>
    <row r="6" spans="1:8" ht="15" customHeight="1" x14ac:dyDescent="0.2">
      <c r="A6" s="30" t="s">
        <v>383</v>
      </c>
      <c r="B6" s="31">
        <v>20</v>
      </c>
      <c r="C6" s="30" t="s">
        <v>384</v>
      </c>
      <c r="D6" s="32"/>
      <c r="E6" s="32"/>
      <c r="F6" s="32"/>
      <c r="G6" s="32"/>
      <c r="H6" s="32"/>
    </row>
    <row r="7" spans="1:8" ht="15" customHeight="1" x14ac:dyDescent="0.2">
      <c r="A7" s="30" t="s">
        <v>385</v>
      </c>
      <c r="B7" s="31">
        <v>20</v>
      </c>
      <c r="C7" s="30" t="s">
        <v>386</v>
      </c>
      <c r="D7" s="32"/>
      <c r="E7" s="32"/>
      <c r="F7" s="32"/>
      <c r="G7" s="32"/>
      <c r="H7" s="32"/>
    </row>
    <row r="8" spans="1:8" ht="15" customHeight="1" x14ac:dyDescent="0.2">
      <c r="A8" s="30" t="s">
        <v>387</v>
      </c>
      <c r="B8" s="31">
        <v>18000</v>
      </c>
      <c r="C8" s="30" t="s">
        <v>388</v>
      </c>
      <c r="D8" s="32"/>
      <c r="E8" s="32"/>
      <c r="F8" s="32"/>
      <c r="G8" s="32"/>
      <c r="H8" s="32"/>
    </row>
    <row r="9" spans="1:8" ht="15" customHeight="1" x14ac:dyDescent="0.2">
      <c r="A9" s="30" t="s">
        <v>389</v>
      </c>
      <c r="B9" s="31">
        <v>28000</v>
      </c>
      <c r="C9" s="30" t="s">
        <v>390</v>
      </c>
      <c r="D9" s="32"/>
      <c r="E9" s="32"/>
      <c r="F9" s="32"/>
      <c r="G9" s="32"/>
      <c r="H9" s="32"/>
    </row>
    <row r="10" spans="1:8" ht="15" customHeight="1" x14ac:dyDescent="0.2">
      <c r="A10" s="30" t="s">
        <v>391</v>
      </c>
      <c r="B10" s="31">
        <v>200000</v>
      </c>
      <c r="C10" s="30" t="s">
        <v>209</v>
      </c>
      <c r="D10" s="32"/>
      <c r="E10" s="32"/>
      <c r="F10" s="32"/>
      <c r="G10" s="32"/>
      <c r="H10" s="32"/>
    </row>
    <row r="11" spans="1:8" ht="15" customHeight="1" x14ac:dyDescent="0.2">
      <c r="A11" s="30" t="s">
        <v>392</v>
      </c>
      <c r="B11" s="31">
        <v>190000</v>
      </c>
      <c r="C11" s="30" t="s">
        <v>209</v>
      </c>
      <c r="D11" s="32"/>
      <c r="E11" s="32"/>
      <c r="F11" s="32"/>
      <c r="G11" s="32"/>
      <c r="H11" s="32"/>
    </row>
    <row r="13" spans="1:8" ht="18" customHeight="1" x14ac:dyDescent="0.2">
      <c r="A13" s="104" t="s">
        <v>393</v>
      </c>
      <c r="B13" s="104"/>
      <c r="C13" s="104"/>
      <c r="D13" s="104"/>
      <c r="E13" s="104"/>
      <c r="F13" s="104"/>
      <c r="G13" s="104"/>
      <c r="H13" s="104"/>
    </row>
    <row r="14" spans="1:8" ht="15" customHeight="1" x14ac:dyDescent="0.2">
      <c r="A14" s="105" t="s">
        <v>394</v>
      </c>
      <c r="B14" s="105"/>
      <c r="C14" s="105"/>
      <c r="D14" s="105"/>
      <c r="E14" s="105"/>
      <c r="F14" s="105"/>
      <c r="G14" s="105"/>
      <c r="H14" s="105"/>
    </row>
    <row r="15" spans="1:8" ht="29" customHeight="1" x14ac:dyDescent="0.2">
      <c r="A15" s="29" t="s">
        <v>395</v>
      </c>
      <c r="B15" s="29" t="s">
        <v>396</v>
      </c>
      <c r="C15" s="29" t="s">
        <v>397</v>
      </c>
      <c r="D15" s="29" t="s">
        <v>239</v>
      </c>
      <c r="E15" s="29" t="s">
        <v>398</v>
      </c>
      <c r="F15" s="29" t="s">
        <v>399</v>
      </c>
      <c r="G15" s="29" t="s">
        <v>400</v>
      </c>
      <c r="H15" s="29" t="s">
        <v>401</v>
      </c>
    </row>
    <row r="16" spans="1:8" ht="28" x14ac:dyDescent="0.2">
      <c r="A16" s="53" t="s">
        <v>402</v>
      </c>
      <c r="B16" s="30" t="s">
        <v>403</v>
      </c>
      <c r="C16" s="34">
        <f>B8*B6</f>
        <v>360000</v>
      </c>
      <c r="D16" s="46">
        <v>0</v>
      </c>
      <c r="E16" s="39">
        <f t="shared" ref="E16:E24" si="0">ROUND(C16*(1-D16)/1000,0)*1000</f>
        <v>360000</v>
      </c>
      <c r="F16" s="42">
        <f t="shared" ref="F16:F24" si="1">C16-E16</f>
        <v>0</v>
      </c>
      <c r="G16" s="47">
        <f t="shared" ref="G16:G24" si="2">IF(C16&gt;0,(C16-E16*0.3)/C16,0)</f>
        <v>0.7</v>
      </c>
      <c r="H16" s="33" t="s">
        <v>404</v>
      </c>
    </row>
    <row r="17" spans="1:8" ht="28" x14ac:dyDescent="0.2">
      <c r="A17" s="53" t="s">
        <v>405</v>
      </c>
      <c r="B17" s="30" t="s">
        <v>406</v>
      </c>
      <c r="C17" s="34">
        <f>B9*B7</f>
        <v>560000</v>
      </c>
      <c r="D17" s="46">
        <v>0</v>
      </c>
      <c r="E17" s="39">
        <f t="shared" si="0"/>
        <v>560000</v>
      </c>
      <c r="F17" s="42">
        <f t="shared" si="1"/>
        <v>0</v>
      </c>
      <c r="G17" s="47">
        <f t="shared" si="2"/>
        <v>0.7</v>
      </c>
      <c r="H17" s="33" t="s">
        <v>407</v>
      </c>
    </row>
    <row r="18" spans="1:8" ht="28" x14ac:dyDescent="0.2">
      <c r="A18" s="53" t="s">
        <v>408</v>
      </c>
      <c r="B18" s="30" t="s">
        <v>409</v>
      </c>
      <c r="C18" s="34">
        <f>B11</f>
        <v>190000</v>
      </c>
      <c r="D18" s="46">
        <v>0</v>
      </c>
      <c r="E18" s="39">
        <f t="shared" si="0"/>
        <v>190000</v>
      </c>
      <c r="F18" s="42">
        <f t="shared" si="1"/>
        <v>0</v>
      </c>
      <c r="G18" s="47">
        <f t="shared" si="2"/>
        <v>0.7</v>
      </c>
      <c r="H18" s="33" t="s">
        <v>410</v>
      </c>
    </row>
    <row r="19" spans="1:8" x14ac:dyDescent="0.2">
      <c r="A19" s="53" t="s">
        <v>411</v>
      </c>
      <c r="B19" s="30" t="s">
        <v>412</v>
      </c>
      <c r="C19" s="34">
        <f>B8*B6+B11</f>
        <v>550000</v>
      </c>
      <c r="D19" s="46">
        <v>0.1</v>
      </c>
      <c r="E19" s="39">
        <f t="shared" si="0"/>
        <v>495000</v>
      </c>
      <c r="F19" s="42">
        <f t="shared" si="1"/>
        <v>55000</v>
      </c>
      <c r="G19" s="47">
        <f t="shared" si="2"/>
        <v>0.73</v>
      </c>
      <c r="H19" s="33" t="s">
        <v>413</v>
      </c>
    </row>
    <row r="20" spans="1:8" ht="15" customHeight="1" x14ac:dyDescent="0.2">
      <c r="A20" s="53" t="s">
        <v>414</v>
      </c>
      <c r="B20" s="30" t="s">
        <v>415</v>
      </c>
      <c r="C20" s="34">
        <f>B9*B7+B10</f>
        <v>760000</v>
      </c>
      <c r="D20" s="46">
        <v>0.08</v>
      </c>
      <c r="E20" s="39">
        <f t="shared" si="0"/>
        <v>699000</v>
      </c>
      <c r="F20" s="42">
        <f t="shared" si="1"/>
        <v>61000</v>
      </c>
      <c r="G20" s="47">
        <f t="shared" si="2"/>
        <v>0.72407894736842104</v>
      </c>
      <c r="H20" s="33" t="s">
        <v>416</v>
      </c>
    </row>
    <row r="21" spans="1:8" ht="28" x14ac:dyDescent="0.2">
      <c r="A21" s="53" t="s">
        <v>417</v>
      </c>
      <c r="B21" s="30" t="s">
        <v>418</v>
      </c>
      <c r="C21" s="34">
        <f>B8*B6+B9*B7+B11</f>
        <v>1110000</v>
      </c>
      <c r="D21" s="46">
        <v>0.15</v>
      </c>
      <c r="E21" s="39">
        <f t="shared" si="0"/>
        <v>944000</v>
      </c>
      <c r="F21" s="42">
        <f t="shared" si="1"/>
        <v>166000</v>
      </c>
      <c r="G21" s="47">
        <f t="shared" si="2"/>
        <v>0.74486486486486492</v>
      </c>
      <c r="H21" s="33" t="s">
        <v>419</v>
      </c>
    </row>
    <row r="22" spans="1:8" ht="28" x14ac:dyDescent="0.2">
      <c r="A22" s="53" t="s">
        <v>420</v>
      </c>
      <c r="B22" s="30" t="s">
        <v>421</v>
      </c>
      <c r="C22" s="34">
        <f>B8*B6+B9*B7+B10+B11</f>
        <v>1310000</v>
      </c>
      <c r="D22" s="46">
        <v>0.2</v>
      </c>
      <c r="E22" s="39">
        <f t="shared" si="0"/>
        <v>1048000</v>
      </c>
      <c r="F22" s="42">
        <f t="shared" si="1"/>
        <v>262000</v>
      </c>
      <c r="G22" s="47">
        <f t="shared" si="2"/>
        <v>0.76</v>
      </c>
      <c r="H22" s="33" t="s">
        <v>422</v>
      </c>
    </row>
    <row r="23" spans="1:8" ht="23.25" customHeight="1" x14ac:dyDescent="0.2">
      <c r="A23" s="53" t="s">
        <v>423</v>
      </c>
      <c r="B23" s="30" t="s">
        <v>424</v>
      </c>
      <c r="C23" s="34">
        <f>B8*B6+B10</f>
        <v>560000</v>
      </c>
      <c r="D23" s="46">
        <v>0.08</v>
      </c>
      <c r="E23" s="39">
        <f t="shared" si="0"/>
        <v>515000</v>
      </c>
      <c r="F23" s="42">
        <f t="shared" si="1"/>
        <v>45000</v>
      </c>
      <c r="G23" s="47">
        <f t="shared" si="2"/>
        <v>0.72410714285714284</v>
      </c>
      <c r="H23" s="33" t="s">
        <v>425</v>
      </c>
    </row>
    <row r="24" spans="1:8" ht="23.25" customHeight="1" x14ac:dyDescent="0.2">
      <c r="A24" s="53" t="s">
        <v>426</v>
      </c>
      <c r="B24" s="30" t="s">
        <v>427</v>
      </c>
      <c r="C24" s="34">
        <f>B11*1.4</f>
        <v>266000</v>
      </c>
      <c r="D24" s="46">
        <v>0</v>
      </c>
      <c r="E24" s="39">
        <f t="shared" si="0"/>
        <v>266000</v>
      </c>
      <c r="F24" s="42">
        <f t="shared" si="1"/>
        <v>0</v>
      </c>
      <c r="G24" s="47">
        <f t="shared" si="2"/>
        <v>0.7</v>
      </c>
      <c r="H24" s="33" t="s">
        <v>428</v>
      </c>
    </row>
    <row r="25" spans="1:8" ht="15" customHeight="1" x14ac:dyDescent="0.2">
      <c r="A25" s="105" t="s">
        <v>429</v>
      </c>
      <c r="B25" s="105"/>
      <c r="C25" s="105"/>
      <c r="D25" s="105"/>
      <c r="E25" s="105"/>
      <c r="F25" s="105"/>
      <c r="G25" s="105"/>
      <c r="H25" s="105"/>
    </row>
  </sheetData>
  <mergeCells count="6">
    <mergeCell ref="A25:H25"/>
    <mergeCell ref="A1:H1"/>
    <mergeCell ref="A2:H2"/>
    <mergeCell ref="A4:H4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5276"/>
  </sheetPr>
  <dimension ref="A1:G45"/>
  <sheetViews>
    <sheetView showGridLines="0" zoomScale="122" zoomScaleNormal="122" workbookViewId="0">
      <pane ySplit="2" topLeftCell="A26" activePane="bottomLeft" state="frozen"/>
      <selection pane="bottomLeft" activeCell="E27" sqref="E27"/>
    </sheetView>
  </sheetViews>
  <sheetFormatPr baseColWidth="10" defaultColWidth="8.6640625" defaultRowHeight="15" x14ac:dyDescent="0.2"/>
  <cols>
    <col min="1" max="1" width="36" customWidth="1"/>
    <col min="2" max="3" width="22" customWidth="1"/>
    <col min="4" max="5" width="16" customWidth="1"/>
    <col min="6" max="6" width="14" customWidth="1"/>
    <col min="7" max="7" width="24" customWidth="1"/>
  </cols>
  <sheetData>
    <row r="1" spans="1:7" ht="25.5" customHeight="1" x14ac:dyDescent="0.2">
      <c r="A1" s="110" t="s">
        <v>430</v>
      </c>
      <c r="B1" s="110"/>
      <c r="C1" s="110"/>
      <c r="D1" s="110"/>
      <c r="E1" s="110"/>
      <c r="F1" s="110"/>
      <c r="G1" s="110"/>
    </row>
    <row r="2" spans="1:7" ht="15" customHeight="1" x14ac:dyDescent="0.2">
      <c r="A2" s="105" t="s">
        <v>431</v>
      </c>
      <c r="B2" s="105"/>
      <c r="C2" s="105"/>
      <c r="D2" s="105"/>
      <c r="E2" s="105"/>
      <c r="F2" s="105"/>
      <c r="G2" s="105"/>
    </row>
    <row r="4" spans="1:7" ht="18" customHeight="1" x14ac:dyDescent="0.2">
      <c r="A4" s="104" t="s">
        <v>432</v>
      </c>
      <c r="B4" s="104"/>
      <c r="C4" s="104"/>
      <c r="D4" s="104"/>
      <c r="E4" s="104"/>
      <c r="F4" s="104"/>
      <c r="G4" s="104"/>
    </row>
    <row r="5" spans="1:7" ht="15" customHeight="1" x14ac:dyDescent="0.2">
      <c r="A5" s="29" t="s">
        <v>168</v>
      </c>
      <c r="B5" s="29" t="s">
        <v>433</v>
      </c>
      <c r="C5" s="29" t="s">
        <v>434</v>
      </c>
      <c r="D5" s="29"/>
      <c r="E5" s="29"/>
      <c r="F5" s="29"/>
      <c r="G5" s="29"/>
    </row>
    <row r="6" spans="1:7" ht="15" customHeight="1" x14ac:dyDescent="0.2">
      <c r="A6" s="30" t="s">
        <v>214</v>
      </c>
      <c r="B6" s="57">
        <f>'1-Costos-Operativos'!B55</f>
        <v>42054500</v>
      </c>
      <c r="C6" s="58" t="s">
        <v>435</v>
      </c>
      <c r="D6" s="32"/>
    </row>
    <row r="7" spans="1:7" ht="15" customHeight="1" x14ac:dyDescent="0.2">
      <c r="E7" s="32"/>
    </row>
    <row r="8" spans="1:7" ht="15" customHeight="1" x14ac:dyDescent="0.2">
      <c r="F8" s="32"/>
    </row>
    <row r="9" spans="1:7" ht="15" customHeight="1" x14ac:dyDescent="0.2">
      <c r="G9" s="32"/>
    </row>
    <row r="10" spans="1:7" ht="15" customHeight="1" x14ac:dyDescent="0.2">
      <c r="A10" s="30" t="s">
        <v>114</v>
      </c>
      <c r="B10" s="44">
        <f>'1-Costos-Operativos'!B6</f>
        <v>50</v>
      </c>
      <c r="C10" s="32"/>
    </row>
    <row r="11" spans="1:7" ht="15" customHeight="1" x14ac:dyDescent="0.2">
      <c r="D11" s="32"/>
    </row>
    <row r="12" spans="1:7" ht="15" customHeight="1" x14ac:dyDescent="0.2">
      <c r="E12" s="32"/>
    </row>
    <row r="13" spans="1:7" ht="15" customHeight="1" x14ac:dyDescent="0.2">
      <c r="F13" s="32"/>
    </row>
    <row r="14" spans="1:7" ht="15" customHeight="1" x14ac:dyDescent="0.2">
      <c r="G14" s="32"/>
    </row>
    <row r="15" spans="1:7" ht="15" customHeight="1" x14ac:dyDescent="0.2">
      <c r="A15" s="30" t="s">
        <v>116</v>
      </c>
      <c r="B15" s="44">
        <f>'1-Costos-Operativos'!B7</f>
        <v>50</v>
      </c>
      <c r="C15" s="32"/>
    </row>
    <row r="17" spans="1:7" ht="15" customHeight="1" x14ac:dyDescent="0.2">
      <c r="D17" s="32"/>
    </row>
    <row r="19" spans="1:7" ht="15" customHeight="1" x14ac:dyDescent="0.2">
      <c r="E19" s="32"/>
    </row>
    <row r="21" spans="1:7" ht="15" customHeight="1" x14ac:dyDescent="0.2">
      <c r="F21" s="32"/>
    </row>
    <row r="23" spans="1:7" ht="15" customHeight="1" x14ac:dyDescent="0.2">
      <c r="G23" s="32"/>
    </row>
    <row r="25" spans="1:7" ht="18" customHeight="1" x14ac:dyDescent="0.2">
      <c r="A25" s="104" t="s">
        <v>436</v>
      </c>
      <c r="B25" s="104"/>
      <c r="C25" s="104"/>
      <c r="D25" s="104"/>
      <c r="E25" s="104"/>
      <c r="F25" s="104"/>
      <c r="G25" s="104"/>
    </row>
    <row r="26" spans="1:7" ht="15" customHeight="1" x14ac:dyDescent="0.2">
      <c r="A26" s="29" t="s">
        <v>437</v>
      </c>
      <c r="B26" s="29" t="s">
        <v>438</v>
      </c>
      <c r="C26" s="29" t="s">
        <v>255</v>
      </c>
      <c r="D26" s="29" t="s">
        <v>439</v>
      </c>
      <c r="E26" s="29" t="s">
        <v>440</v>
      </c>
      <c r="F26" s="29"/>
      <c r="G26" s="29" t="s">
        <v>401</v>
      </c>
    </row>
    <row r="27" spans="1:7" ht="15" customHeight="1" x14ac:dyDescent="0.2">
      <c r="A27" s="30" t="s">
        <v>441</v>
      </c>
      <c r="B27" s="44">
        <f>'2-SICOV'!B32</f>
        <v>14000</v>
      </c>
      <c r="C27" s="30" t="s">
        <v>388</v>
      </c>
      <c r="D27" s="44">
        <f>'2-SICOV'!B27</f>
        <v>842040</v>
      </c>
      <c r="E27" s="45">
        <f t="shared" ref="E27:E34" si="0">IF(B27&gt;0,(B27-D27)/B27,0)</f>
        <v>-59.145714285714284</v>
      </c>
      <c r="F27" s="32"/>
      <c r="G27" s="33" t="s">
        <v>442</v>
      </c>
    </row>
    <row r="28" spans="1:7" ht="15" customHeight="1" x14ac:dyDescent="0.2">
      <c r="A28" s="30" t="s">
        <v>443</v>
      </c>
      <c r="B28" s="44">
        <f>'2-SICOV'!B33</f>
        <v>18000</v>
      </c>
      <c r="C28" s="30" t="s">
        <v>388</v>
      </c>
      <c r="D28" s="44">
        <f>'2-SICOV'!B27</f>
        <v>842040</v>
      </c>
      <c r="E28" s="59">
        <f t="shared" si="0"/>
        <v>-45.78</v>
      </c>
      <c r="F28" s="32"/>
      <c r="G28" s="33" t="s">
        <v>442</v>
      </c>
    </row>
    <row r="29" spans="1:7" ht="15" customHeight="1" x14ac:dyDescent="0.2">
      <c r="A29" s="30" t="s">
        <v>444</v>
      </c>
      <c r="B29" s="44">
        <f>'3-App-Conductor'!B36</f>
        <v>24000</v>
      </c>
      <c r="C29" s="30" t="s">
        <v>390</v>
      </c>
      <c r="D29" s="44">
        <f>'3-App-Conductor'!B32</f>
        <v>0</v>
      </c>
      <c r="E29" s="45">
        <f t="shared" si="0"/>
        <v>1</v>
      </c>
      <c r="F29" s="32"/>
      <c r="G29" s="33" t="s">
        <v>442</v>
      </c>
    </row>
    <row r="30" spans="1:7" ht="15" customHeight="1" x14ac:dyDescent="0.2">
      <c r="A30" s="30" t="s">
        <v>445</v>
      </c>
      <c r="B30" s="44">
        <f>'3-App-Conductor'!B37</f>
        <v>28000</v>
      </c>
      <c r="C30" s="30" t="s">
        <v>390</v>
      </c>
      <c r="D30" s="44">
        <f>'3-App-Conductor'!B32</f>
        <v>0</v>
      </c>
      <c r="E30" s="59">
        <f t="shared" si="0"/>
        <v>1</v>
      </c>
      <c r="F30" s="32"/>
      <c r="G30" s="33" t="s">
        <v>442</v>
      </c>
    </row>
    <row r="31" spans="1:7" ht="15" customHeight="1" x14ac:dyDescent="0.2">
      <c r="A31" s="30" t="s">
        <v>446</v>
      </c>
      <c r="B31" s="44">
        <f>'4-Alcoholemia-Soplada'!B17</f>
        <v>800</v>
      </c>
      <c r="C31" s="30" t="s">
        <v>447</v>
      </c>
      <c r="D31" s="44">
        <f>'4-Alcoholemia-Soplada'!D13</f>
        <v>304.5</v>
      </c>
      <c r="E31" s="45">
        <f t="shared" si="0"/>
        <v>0.61937500000000001</v>
      </c>
      <c r="F31" s="32"/>
      <c r="G31" s="33" t="s">
        <v>442</v>
      </c>
    </row>
    <row r="32" spans="1:7" ht="15" customHeight="1" x14ac:dyDescent="0.2">
      <c r="A32" s="30" t="s">
        <v>448</v>
      </c>
      <c r="B32" s="44">
        <f>'4-Alcoholemia-Soplada'!B41</f>
        <v>250000</v>
      </c>
      <c r="C32" s="30" t="s">
        <v>449</v>
      </c>
      <c r="D32" s="44">
        <f>'4-Alcoholemia-Soplada'!B40</f>
        <v>43000</v>
      </c>
      <c r="E32" s="59">
        <f t="shared" si="0"/>
        <v>0.82799999999999996</v>
      </c>
      <c r="F32" s="32"/>
      <c r="G32" s="33" t="s">
        <v>442</v>
      </c>
    </row>
    <row r="33" spans="1:7" ht="15" customHeight="1" x14ac:dyDescent="0.2">
      <c r="A33" s="30" t="s">
        <v>450</v>
      </c>
      <c r="B33" s="44">
        <f>'6-PESV'!C23</f>
        <v>190000</v>
      </c>
      <c r="C33" s="30" t="s">
        <v>451</v>
      </c>
      <c r="D33" s="44">
        <f>'6-PESV'!C19</f>
        <v>69825</v>
      </c>
      <c r="E33" s="45">
        <f t="shared" si="0"/>
        <v>0.63249999999999995</v>
      </c>
      <c r="F33" s="32"/>
      <c r="G33" s="33" t="s">
        <v>442</v>
      </c>
    </row>
    <row r="34" spans="1:7" ht="15" customHeight="1" x14ac:dyDescent="0.2">
      <c r="A34" s="30" t="s">
        <v>452</v>
      </c>
      <c r="B34" s="44">
        <f>'6-PESV'!D23</f>
        <v>480000</v>
      </c>
      <c r="C34" s="30" t="s">
        <v>451</v>
      </c>
      <c r="D34" s="44">
        <f>'6-PESV'!D19</f>
        <v>161700</v>
      </c>
      <c r="E34" s="59">
        <f t="shared" si="0"/>
        <v>0.66312499999999996</v>
      </c>
      <c r="F34" s="32"/>
      <c r="G34" s="33" t="s">
        <v>442</v>
      </c>
    </row>
    <row r="36" spans="1:7" ht="18" customHeight="1" x14ac:dyDescent="0.2">
      <c r="A36" s="104" t="s">
        <v>453</v>
      </c>
      <c r="B36" s="104"/>
      <c r="C36" s="104"/>
      <c r="D36" s="104"/>
      <c r="E36" s="104"/>
      <c r="F36" s="104"/>
      <c r="G36" s="104"/>
    </row>
    <row r="37" spans="1:7" ht="15" customHeight="1" x14ac:dyDescent="0.2">
      <c r="A37" s="29" t="s">
        <v>395</v>
      </c>
      <c r="B37" s="29" t="s">
        <v>454</v>
      </c>
      <c r="C37" s="29" t="s">
        <v>455</v>
      </c>
      <c r="D37" s="29" t="s">
        <v>456</v>
      </c>
      <c r="E37" s="29" t="s">
        <v>457</v>
      </c>
      <c r="F37" s="29"/>
      <c r="G37" s="29" t="s">
        <v>458</v>
      </c>
    </row>
    <row r="38" spans="1:7" ht="15" customHeight="1" x14ac:dyDescent="0.2">
      <c r="A38" s="53" t="s">
        <v>402</v>
      </c>
      <c r="B38" s="44">
        <f>'7-Paquetes'!C16</f>
        <v>360000</v>
      </c>
      <c r="C38" s="60">
        <f>'7-Paquetes'!D16</f>
        <v>0</v>
      </c>
      <c r="D38" s="57">
        <f>'7-Paquetes'!E16</f>
        <v>360000</v>
      </c>
      <c r="E38" s="34">
        <f>'7-Paquetes'!F16</f>
        <v>0</v>
      </c>
      <c r="F38" s="32"/>
      <c r="G38" s="33"/>
    </row>
    <row r="39" spans="1:7" ht="15" customHeight="1" x14ac:dyDescent="0.2">
      <c r="A39" s="53" t="s">
        <v>411</v>
      </c>
      <c r="B39" s="44">
        <f>'7-Paquetes'!C19</f>
        <v>550000</v>
      </c>
      <c r="C39" s="60">
        <f>'7-Paquetes'!D19</f>
        <v>0.1</v>
      </c>
      <c r="D39" s="57">
        <f>'7-Paquetes'!E19</f>
        <v>495000</v>
      </c>
      <c r="E39" s="34">
        <f>'7-Paquetes'!F19</f>
        <v>55000</v>
      </c>
      <c r="F39" s="32"/>
      <c r="G39" s="33" t="s">
        <v>459</v>
      </c>
    </row>
    <row r="40" spans="1:7" ht="15" customHeight="1" x14ac:dyDescent="0.2">
      <c r="A40" s="53" t="s">
        <v>418</v>
      </c>
      <c r="B40" s="44">
        <f>'7-Paquetes'!C21</f>
        <v>1110000</v>
      </c>
      <c r="C40" s="60">
        <f>'7-Paquetes'!D21</f>
        <v>0.15</v>
      </c>
      <c r="D40" s="57">
        <f>'7-Paquetes'!E21</f>
        <v>944000</v>
      </c>
      <c r="E40" s="34">
        <f>'7-Paquetes'!F21</f>
        <v>166000</v>
      </c>
      <c r="F40" s="32"/>
      <c r="G40" s="41" t="s">
        <v>460</v>
      </c>
    </row>
    <row r="41" spans="1:7" ht="15" customHeight="1" x14ac:dyDescent="0.2">
      <c r="A41" s="53" t="s">
        <v>421</v>
      </c>
      <c r="B41" s="44">
        <f>'7-Paquetes'!C22</f>
        <v>1310000</v>
      </c>
      <c r="C41" s="60">
        <f>'7-Paquetes'!D22</f>
        <v>0.2</v>
      </c>
      <c r="D41" s="57">
        <f>'7-Paquetes'!E22</f>
        <v>1048000</v>
      </c>
      <c r="E41" s="34">
        <f>'7-Paquetes'!F22</f>
        <v>262000</v>
      </c>
      <c r="F41" s="32"/>
      <c r="G41" s="41" t="s">
        <v>461</v>
      </c>
    </row>
    <row r="42" spans="1:7" ht="15" customHeight="1" x14ac:dyDescent="0.2">
      <c r="A42" s="53" t="s">
        <v>462</v>
      </c>
      <c r="B42" s="44">
        <f>'7-Paquetes'!C24</f>
        <v>266000</v>
      </c>
      <c r="C42" s="60">
        <f>'7-Paquetes'!D24</f>
        <v>0</v>
      </c>
      <c r="D42" s="57">
        <f>'7-Paquetes'!E24</f>
        <v>266000</v>
      </c>
      <c r="E42" s="34">
        <f>'7-Paquetes'!F24</f>
        <v>0</v>
      </c>
      <c r="F42" s="32"/>
      <c r="G42" s="61" t="s">
        <v>463</v>
      </c>
    </row>
    <row r="44" spans="1:7" ht="15" customHeight="1" x14ac:dyDescent="0.2">
      <c r="A44" s="105" t="s">
        <v>464</v>
      </c>
      <c r="B44" s="105"/>
      <c r="C44" s="105"/>
      <c r="D44" s="105"/>
      <c r="E44" s="105"/>
      <c r="F44" s="105"/>
      <c r="G44" s="105"/>
    </row>
    <row r="45" spans="1:7" ht="15" customHeight="1" x14ac:dyDescent="0.2">
      <c r="A45" s="109" t="s">
        <v>465</v>
      </c>
      <c r="B45" s="109"/>
      <c r="C45" s="109"/>
      <c r="D45" s="109"/>
      <c r="E45" s="109"/>
      <c r="F45" s="109"/>
      <c r="G45" s="109"/>
    </row>
  </sheetData>
  <mergeCells count="7">
    <mergeCell ref="A44:G44"/>
    <mergeCell ref="A45:G45"/>
    <mergeCell ref="A1:G1"/>
    <mergeCell ref="A2:G2"/>
    <mergeCell ref="A4:G4"/>
    <mergeCell ref="A25:G25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BC9C"/>
  </sheetPr>
  <dimension ref="A1:J31"/>
  <sheetViews>
    <sheetView showGridLines="0" tabSelected="1" zoomScale="108" zoomScaleNormal="108" workbookViewId="0">
      <pane ySplit="3" topLeftCell="A6" activePane="bottomLeft" state="frozen"/>
      <selection pane="bottomLeft" activeCell="B12" sqref="B12"/>
    </sheetView>
  </sheetViews>
  <sheetFormatPr baseColWidth="10" defaultColWidth="8.6640625" defaultRowHeight="15" x14ac:dyDescent="0.2"/>
  <cols>
    <col min="1" max="1" width="42" customWidth="1"/>
    <col min="2" max="9" width="16" customWidth="1"/>
    <col min="10" max="10" width="20" customWidth="1"/>
  </cols>
  <sheetData>
    <row r="1" spans="1:10" ht="25.5" customHeight="1" x14ac:dyDescent="0.2">
      <c r="A1" s="106" t="s">
        <v>466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ht="15" customHeight="1" x14ac:dyDescent="0.2">
      <c r="A2" s="105" t="s">
        <v>467</v>
      </c>
      <c r="B2" s="105"/>
      <c r="C2" s="105"/>
      <c r="D2" s="105"/>
      <c r="E2" s="105"/>
      <c r="F2" s="105"/>
      <c r="G2" s="105"/>
      <c r="H2" s="105"/>
      <c r="I2" s="105"/>
      <c r="J2" s="105"/>
    </row>
    <row r="4" spans="1:10" ht="18" customHeight="1" x14ac:dyDescent="0.2">
      <c r="A4" s="104" t="s">
        <v>468</v>
      </c>
      <c r="B4" s="104"/>
      <c r="C4" s="104"/>
      <c r="D4" s="104"/>
      <c r="E4" s="104"/>
      <c r="F4" s="104"/>
      <c r="G4" s="104"/>
      <c r="H4" s="104"/>
      <c r="I4" s="104"/>
      <c r="J4" s="104"/>
    </row>
    <row r="5" spans="1:10" ht="15" customHeight="1" x14ac:dyDescent="0.2">
      <c r="A5" s="62" t="s">
        <v>168</v>
      </c>
      <c r="B5" s="62" t="s">
        <v>469</v>
      </c>
      <c r="C5" s="63"/>
      <c r="D5" s="63"/>
      <c r="E5" s="63"/>
      <c r="F5" s="63"/>
      <c r="G5" s="63"/>
      <c r="H5" s="63"/>
      <c r="I5" s="63"/>
      <c r="J5" s="63"/>
    </row>
    <row r="6" spans="1:10" ht="31" customHeight="1" x14ac:dyDescent="0.2">
      <c r="A6" s="30" t="s">
        <v>470</v>
      </c>
      <c r="B6" s="57">
        <f>'4-Alcoholemia-Soplada'!D13</f>
        <v>304.5</v>
      </c>
      <c r="C6" s="33" t="s">
        <v>471</v>
      </c>
      <c r="D6" s="32"/>
      <c r="E6" s="32"/>
      <c r="F6" s="32"/>
      <c r="G6" s="32"/>
      <c r="H6" s="32"/>
      <c r="I6" s="32"/>
      <c r="J6" s="32"/>
    </row>
    <row r="7" spans="1:10" ht="15" customHeight="1" x14ac:dyDescent="0.2">
      <c r="A7" s="30" t="s">
        <v>472</v>
      </c>
      <c r="B7" s="57">
        <f>'4-Alcoholemia-Soplada'!B17</f>
        <v>800</v>
      </c>
      <c r="C7" s="32"/>
      <c r="D7" s="32"/>
      <c r="E7" s="32"/>
      <c r="F7" s="32"/>
      <c r="G7" s="32"/>
      <c r="H7" s="32"/>
      <c r="I7" s="32"/>
      <c r="J7" s="32"/>
    </row>
    <row r="9" spans="1:10" ht="18" customHeight="1" x14ac:dyDescent="0.2">
      <c r="A9" s="104" t="s">
        <v>473</v>
      </c>
      <c r="B9" s="104"/>
      <c r="C9" s="104"/>
      <c r="D9" s="104"/>
      <c r="E9" s="104"/>
      <c r="F9" s="104"/>
      <c r="G9" s="104"/>
      <c r="H9" s="104"/>
      <c r="I9" s="104"/>
      <c r="J9" s="104"/>
    </row>
    <row r="10" spans="1:10" ht="15" customHeight="1" x14ac:dyDescent="0.2">
      <c r="A10" s="29" t="s">
        <v>474</v>
      </c>
      <c r="B10" s="116" t="s">
        <v>475</v>
      </c>
      <c r="C10" s="116"/>
      <c r="D10" s="116"/>
      <c r="E10" s="117" t="s">
        <v>476</v>
      </c>
      <c r="F10" s="117"/>
      <c r="G10" s="117"/>
      <c r="H10" s="118" t="s">
        <v>477</v>
      </c>
      <c r="I10" s="118"/>
      <c r="J10" s="118"/>
    </row>
    <row r="11" spans="1:10" ht="21.75" customHeight="1" x14ac:dyDescent="0.2">
      <c r="A11" s="64"/>
      <c r="B11" s="65" t="s">
        <v>478</v>
      </c>
      <c r="C11" s="65" t="s">
        <v>479</v>
      </c>
      <c r="D11" s="65" t="s">
        <v>113</v>
      </c>
      <c r="E11" s="66" t="s">
        <v>480</v>
      </c>
      <c r="F11" s="66" t="s">
        <v>481</v>
      </c>
      <c r="G11" s="66" t="s">
        <v>482</v>
      </c>
      <c r="H11" s="67" t="s">
        <v>480</v>
      </c>
      <c r="I11" s="67" t="s">
        <v>483</v>
      </c>
      <c r="J11" s="67" t="s">
        <v>484</v>
      </c>
    </row>
    <row r="12" spans="1:10" ht="15" customHeight="1" x14ac:dyDescent="0.2">
      <c r="A12" s="53" t="s">
        <v>485</v>
      </c>
      <c r="B12" s="31">
        <v>800</v>
      </c>
      <c r="C12" s="46">
        <v>0.7</v>
      </c>
      <c r="D12" s="33" t="s">
        <v>486</v>
      </c>
      <c r="E12" s="31">
        <v>300</v>
      </c>
      <c r="F12" s="68">
        <f>ROUND(B6*E12/(1-C12)/5000,0)*5000</f>
        <v>305000</v>
      </c>
      <c r="G12" s="31">
        <v>900</v>
      </c>
      <c r="H12" s="31">
        <v>300</v>
      </c>
      <c r="I12" s="69">
        <f>ROUND(F12*0.92/5000,0)*5000</f>
        <v>280000</v>
      </c>
      <c r="J12" s="70">
        <f>IF(F12&gt;0,(F12-I12)/F12,0)</f>
        <v>8.1967213114754092E-2</v>
      </c>
    </row>
    <row r="13" spans="1:10" ht="15" customHeight="1" x14ac:dyDescent="0.2">
      <c r="A13" s="53" t="s">
        <v>487</v>
      </c>
      <c r="B13" s="31">
        <v>750</v>
      </c>
      <c r="C13" s="46">
        <v>0.7</v>
      </c>
      <c r="D13" s="33" t="s">
        <v>488</v>
      </c>
      <c r="E13" s="31">
        <v>900</v>
      </c>
      <c r="F13" s="68">
        <f>ROUND(B6*E13/(1-C13)/5000,0)*5000</f>
        <v>915000</v>
      </c>
      <c r="G13" s="31">
        <v>800</v>
      </c>
      <c r="H13" s="31">
        <v>900</v>
      </c>
      <c r="I13" s="69">
        <f>ROUND(F13*0.92/5000,0)*5000</f>
        <v>840000</v>
      </c>
      <c r="J13" s="70">
        <f>IF(F13&gt;0,(F13-I13)/F13,0)</f>
        <v>8.1967213114754092E-2</v>
      </c>
    </row>
    <row r="14" spans="1:10" ht="15" customHeight="1" x14ac:dyDescent="0.2">
      <c r="A14" s="53" t="s">
        <v>489</v>
      </c>
      <c r="B14" s="31">
        <v>680</v>
      </c>
      <c r="C14" s="46">
        <v>0.68</v>
      </c>
      <c r="D14" s="33" t="s">
        <v>490</v>
      </c>
      <c r="E14" s="31">
        <v>2000</v>
      </c>
      <c r="F14" s="68">
        <f>ROUND(B6*E14/(1-C14)/5000,0)*5000</f>
        <v>1905000</v>
      </c>
      <c r="G14" s="31">
        <v>720</v>
      </c>
      <c r="H14" s="31">
        <v>2000</v>
      </c>
      <c r="I14" s="69">
        <f>ROUND(F14*0.92/5000,0)*5000</f>
        <v>1755000</v>
      </c>
      <c r="J14" s="70">
        <f>IF(F14&gt;0,(F14-I14)/F14,0)</f>
        <v>7.874015748031496E-2</v>
      </c>
    </row>
    <row r="15" spans="1:10" ht="15" customHeight="1" x14ac:dyDescent="0.2">
      <c r="A15" s="53" t="s">
        <v>491</v>
      </c>
      <c r="B15" s="31">
        <v>600</v>
      </c>
      <c r="C15" s="46">
        <v>0.67</v>
      </c>
      <c r="D15" s="33" t="s">
        <v>492</v>
      </c>
      <c r="E15" s="31">
        <v>5000</v>
      </c>
      <c r="F15" s="68">
        <f>ROUND(B6*E15/(1-C15)/5000,0)*5000</f>
        <v>4615000</v>
      </c>
      <c r="G15" s="31">
        <v>640</v>
      </c>
      <c r="H15" s="31">
        <v>5000</v>
      </c>
      <c r="I15" s="69">
        <f>ROUND(F15*0.92/5000,0)*5000</f>
        <v>4245000</v>
      </c>
      <c r="J15" s="70">
        <f>IF(F15&gt;0,(F15-I15)/F15,0)</f>
        <v>8.017334777898158E-2</v>
      </c>
    </row>
    <row r="16" spans="1:10" ht="15" customHeight="1" x14ac:dyDescent="0.2">
      <c r="A16" s="53" t="s">
        <v>493</v>
      </c>
      <c r="B16" s="31">
        <v>520</v>
      </c>
      <c r="C16" s="46">
        <v>0.65</v>
      </c>
      <c r="D16" s="33" t="s">
        <v>494</v>
      </c>
      <c r="E16" s="31">
        <v>8000</v>
      </c>
      <c r="F16" s="68">
        <f>ROUND(B6*E16/(1-C16)/5000,0)*5000</f>
        <v>6960000</v>
      </c>
      <c r="G16" s="31">
        <v>560</v>
      </c>
      <c r="H16" s="31">
        <v>8000</v>
      </c>
      <c r="I16" s="69">
        <f>ROUND(F16*0.92/5000,0)*5000</f>
        <v>6405000</v>
      </c>
      <c r="J16" s="70">
        <f>IF(F16&gt;0,(F16-I16)/F16,0)</f>
        <v>7.9741379310344834E-2</v>
      </c>
    </row>
    <row r="17" spans="1:10" ht="15" customHeight="1" x14ac:dyDescent="0.2">
      <c r="A17" s="105" t="s">
        <v>495</v>
      </c>
      <c r="B17" s="105"/>
      <c r="C17" s="105"/>
      <c r="D17" s="105"/>
      <c r="E17" s="105"/>
      <c r="F17" s="105"/>
      <c r="G17" s="105"/>
      <c r="H17" s="105"/>
      <c r="I17" s="105"/>
      <c r="J17" s="105"/>
    </row>
    <row r="19" spans="1:10" ht="18" customHeight="1" x14ac:dyDescent="0.2">
      <c r="A19" s="104" t="s">
        <v>496</v>
      </c>
      <c r="B19" s="104"/>
      <c r="C19" s="104"/>
      <c r="D19" s="104"/>
      <c r="E19" s="104"/>
      <c r="F19" s="104"/>
      <c r="G19" s="104"/>
      <c r="H19" s="104"/>
      <c r="I19" s="104"/>
      <c r="J19" s="104"/>
    </row>
    <row r="20" spans="1:10" ht="15" customHeight="1" x14ac:dyDescent="0.2">
      <c r="A20" s="105" t="s">
        <v>497</v>
      </c>
      <c r="B20" s="105"/>
      <c r="C20" s="105"/>
      <c r="D20" s="105"/>
      <c r="E20" s="105"/>
      <c r="F20" s="105"/>
      <c r="G20" s="105"/>
      <c r="H20" s="105"/>
      <c r="I20" s="105"/>
      <c r="J20" s="105"/>
    </row>
    <row r="21" spans="1:10" ht="15" customHeight="1" x14ac:dyDescent="0.2">
      <c r="A21" s="71" t="s">
        <v>498</v>
      </c>
      <c r="B21" s="71" t="s">
        <v>499</v>
      </c>
      <c r="C21" s="113" t="s">
        <v>475</v>
      </c>
      <c r="D21" s="113"/>
      <c r="E21" s="113"/>
      <c r="F21" s="114" t="s">
        <v>476</v>
      </c>
      <c r="G21" s="114"/>
      <c r="H21" s="114"/>
      <c r="I21" s="115" t="s">
        <v>500</v>
      </c>
      <c r="J21" s="115"/>
    </row>
    <row r="22" spans="1:10" ht="21.75" customHeight="1" x14ac:dyDescent="0.2">
      <c r="A22" s="64"/>
      <c r="B22" s="72" t="s">
        <v>501</v>
      </c>
      <c r="C22" s="65" t="s">
        <v>502</v>
      </c>
      <c r="D22" s="65" t="s">
        <v>503</v>
      </c>
      <c r="E22" s="65" t="s">
        <v>504</v>
      </c>
      <c r="F22" s="66" t="s">
        <v>505</v>
      </c>
      <c r="G22" s="66" t="s">
        <v>506</v>
      </c>
      <c r="H22" s="66" t="s">
        <v>507</v>
      </c>
      <c r="I22" s="67" t="s">
        <v>508</v>
      </c>
      <c r="J22" s="67" t="s">
        <v>509</v>
      </c>
    </row>
    <row r="23" spans="1:10" ht="15" customHeight="1" x14ac:dyDescent="0.2">
      <c r="A23" s="73" t="s">
        <v>510</v>
      </c>
      <c r="B23" s="31">
        <v>150</v>
      </c>
      <c r="C23" s="74">
        <f>B12</f>
        <v>800</v>
      </c>
      <c r="D23" s="75">
        <f>B23*C23</f>
        <v>120000</v>
      </c>
      <c r="E23" s="76">
        <f>IF(C23&gt;0,(C23-B6)/C23,0)</f>
        <v>0.61937500000000001</v>
      </c>
      <c r="F23" s="77" t="s">
        <v>511</v>
      </c>
      <c r="G23" s="78">
        <f>F12</f>
        <v>305000</v>
      </c>
      <c r="H23" s="79">
        <f>MAX(0,D23-G23)</f>
        <v>0</v>
      </c>
      <c r="I23" s="80">
        <f>I12</f>
        <v>280000</v>
      </c>
      <c r="J23" s="81">
        <f>IF(D23&gt;0,(D23-I23)/D23,0)</f>
        <v>-1.3333333333333333</v>
      </c>
    </row>
    <row r="24" spans="1:10" ht="15" customHeight="1" x14ac:dyDescent="0.2">
      <c r="A24" s="10" t="s">
        <v>512</v>
      </c>
      <c r="B24" s="31">
        <v>600</v>
      </c>
      <c r="C24" s="74">
        <f>B13</f>
        <v>750</v>
      </c>
      <c r="D24" s="75">
        <f>B24*C24</f>
        <v>450000</v>
      </c>
      <c r="E24" s="76">
        <f>IF(C24&gt;0,(C24-B6)/C24,0)</f>
        <v>0.59399999999999997</v>
      </c>
      <c r="F24" s="77" t="s">
        <v>486</v>
      </c>
      <c r="G24" s="78">
        <f>F13</f>
        <v>915000</v>
      </c>
      <c r="H24" s="79">
        <f>MAX(0,D24-G24)</f>
        <v>0</v>
      </c>
      <c r="I24" s="80">
        <f>I13</f>
        <v>840000</v>
      </c>
      <c r="J24" s="81">
        <f>IF(D24&gt;0,(D24-I24)/D24,0)</f>
        <v>-0.8666666666666667</v>
      </c>
    </row>
    <row r="25" spans="1:10" ht="15" customHeight="1" x14ac:dyDescent="0.2">
      <c r="A25" s="73" t="s">
        <v>513</v>
      </c>
      <c r="B25" s="31">
        <v>1500</v>
      </c>
      <c r="C25" s="74">
        <f>B14</f>
        <v>680</v>
      </c>
      <c r="D25" s="75">
        <f>B25*C25</f>
        <v>1020000</v>
      </c>
      <c r="E25" s="76">
        <f>IF(C25&gt;0,(C25-B6)/C25,0)</f>
        <v>0.55220588235294121</v>
      </c>
      <c r="F25" s="77" t="s">
        <v>514</v>
      </c>
      <c r="G25" s="78">
        <f>F14</f>
        <v>1905000</v>
      </c>
      <c r="H25" s="79">
        <f>MAX(0,D25-G25)</f>
        <v>0</v>
      </c>
      <c r="I25" s="80">
        <f>I14</f>
        <v>1755000</v>
      </c>
      <c r="J25" s="81">
        <f>IF(D25&gt;0,(D25-I25)/D25,0)</f>
        <v>-0.72058823529411764</v>
      </c>
    </row>
    <row r="26" spans="1:10" ht="15" customHeight="1" x14ac:dyDescent="0.2">
      <c r="A26" s="10" t="s">
        <v>515</v>
      </c>
      <c r="B26" s="31">
        <v>3000</v>
      </c>
      <c r="C26" s="74">
        <f>B15</f>
        <v>600</v>
      </c>
      <c r="D26" s="75">
        <f>B26*C26</f>
        <v>1800000</v>
      </c>
      <c r="E26" s="76">
        <f>IF(C26&gt;0,(C26-B6)/C26,0)</f>
        <v>0.49249999999999999</v>
      </c>
      <c r="F26" s="77" t="s">
        <v>516</v>
      </c>
      <c r="G26" s="78">
        <f>F15</f>
        <v>4615000</v>
      </c>
      <c r="H26" s="79">
        <f>MAX(0,D26-G26)</f>
        <v>0</v>
      </c>
      <c r="I26" s="80">
        <f>I15</f>
        <v>4245000</v>
      </c>
      <c r="J26" s="81">
        <f>IF(D26&gt;0,(D26-I26)/D26,0)</f>
        <v>-1.3583333333333334</v>
      </c>
    </row>
    <row r="27" spans="1:10" ht="15" customHeight="1" x14ac:dyDescent="0.2">
      <c r="A27" s="111" t="s">
        <v>517</v>
      </c>
      <c r="B27" s="111"/>
      <c r="C27" s="111"/>
      <c r="D27" s="111"/>
      <c r="E27" s="111"/>
      <c r="F27" s="111"/>
      <c r="G27" s="111"/>
      <c r="H27" s="111"/>
      <c r="I27" s="111"/>
      <c r="J27" s="111"/>
    </row>
    <row r="28" spans="1:10" ht="15" customHeight="1" x14ac:dyDescent="0.2">
      <c r="A28" s="112" t="s">
        <v>518</v>
      </c>
      <c r="B28" s="112"/>
      <c r="C28" s="112"/>
      <c r="D28" s="112"/>
      <c r="E28" s="112"/>
      <c r="F28" s="112"/>
      <c r="G28" s="112"/>
      <c r="H28" s="112"/>
      <c r="I28" s="112"/>
      <c r="J28" s="112"/>
    </row>
    <row r="29" spans="1:10" ht="15" customHeight="1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</row>
    <row r="30" spans="1:10" ht="15" customHeight="1" x14ac:dyDescent="0.2">
      <c r="A30" s="82"/>
      <c r="B30" s="32"/>
      <c r="C30" s="32"/>
      <c r="D30" s="32"/>
      <c r="E30" s="32"/>
      <c r="F30" s="32"/>
      <c r="G30" s="32"/>
      <c r="H30" s="32"/>
      <c r="I30" s="32"/>
      <c r="J30" s="32"/>
    </row>
    <row r="31" spans="1:10" ht="15" customHeight="1" x14ac:dyDescent="0.2">
      <c r="A31" s="83"/>
      <c r="B31" s="32"/>
      <c r="C31" s="32"/>
      <c r="D31" s="32"/>
      <c r="E31" s="32"/>
      <c r="F31" s="32"/>
      <c r="G31" s="32"/>
      <c r="H31" s="32"/>
      <c r="I31" s="32"/>
      <c r="J31" s="32"/>
    </row>
  </sheetData>
  <mergeCells count="15">
    <mergeCell ref="A1:J1"/>
    <mergeCell ref="A2:J2"/>
    <mergeCell ref="A4:J4"/>
    <mergeCell ref="A9:J9"/>
    <mergeCell ref="B10:D10"/>
    <mergeCell ref="E10:G10"/>
    <mergeCell ref="H10:J10"/>
    <mergeCell ref="A27:J27"/>
    <mergeCell ref="A28:J28"/>
    <mergeCell ref="A17:J17"/>
    <mergeCell ref="A19:J19"/>
    <mergeCell ref="A20:J20"/>
    <mergeCell ref="C21:E21"/>
    <mergeCell ref="F21:H21"/>
    <mergeCell ref="I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39C12"/>
  </sheetPr>
  <dimension ref="A1:G64"/>
  <sheetViews>
    <sheetView showGridLines="0" zoomScaleNormal="100" workbookViewId="0">
      <pane ySplit="4" topLeftCell="A11" activePane="bottomLeft" state="frozen"/>
      <selection pane="bottomLeft" activeCell="B18" sqref="B18"/>
    </sheetView>
  </sheetViews>
  <sheetFormatPr baseColWidth="10" defaultColWidth="8.6640625" defaultRowHeight="15" x14ac:dyDescent="0.2"/>
  <cols>
    <col min="1" max="1" width="36" customWidth="1"/>
    <col min="2" max="2" width="20" customWidth="1"/>
    <col min="3" max="6" width="18" customWidth="1"/>
    <col min="7" max="7" width="22" customWidth="1"/>
  </cols>
  <sheetData>
    <row r="1" spans="1:7" ht="25.5" customHeight="1" x14ac:dyDescent="0.2">
      <c r="A1" s="110" t="s">
        <v>519</v>
      </c>
      <c r="B1" s="110"/>
      <c r="C1" s="110"/>
      <c r="D1" s="110"/>
      <c r="E1" s="110"/>
      <c r="F1" s="110"/>
      <c r="G1" s="110"/>
    </row>
    <row r="2" spans="1:7" ht="23.25" customHeight="1" x14ac:dyDescent="0.2">
      <c r="A2" s="105" t="s">
        <v>520</v>
      </c>
      <c r="B2" s="105"/>
      <c r="C2" s="105"/>
      <c r="D2" s="105"/>
      <c r="E2" s="105"/>
      <c r="F2" s="105"/>
      <c r="G2" s="105"/>
    </row>
    <row r="4" spans="1:7" ht="18" customHeight="1" x14ac:dyDescent="0.2">
      <c r="A4" s="104" t="s">
        <v>521</v>
      </c>
      <c r="B4" s="104"/>
      <c r="C4" s="104"/>
      <c r="D4" s="104"/>
      <c r="E4" s="104"/>
      <c r="F4" s="104"/>
      <c r="G4" s="104"/>
    </row>
    <row r="5" spans="1:7" ht="15" customHeight="1" x14ac:dyDescent="0.2">
      <c r="A5" s="29" t="s">
        <v>522</v>
      </c>
      <c r="B5" s="29" t="s">
        <v>224</v>
      </c>
      <c r="C5" s="135"/>
      <c r="D5" s="135"/>
      <c r="E5" s="135"/>
      <c r="F5" s="135"/>
      <c r="G5" s="135"/>
    </row>
    <row r="6" spans="1:7" ht="15" customHeight="1" x14ac:dyDescent="0.2">
      <c r="A6" s="30" t="s">
        <v>523</v>
      </c>
      <c r="B6" s="84" t="s">
        <v>524</v>
      </c>
      <c r="C6" s="119"/>
      <c r="D6" s="119"/>
      <c r="E6" s="119"/>
      <c r="F6" s="119"/>
      <c r="G6" s="119"/>
    </row>
    <row r="7" spans="1:7" ht="15" customHeight="1" x14ac:dyDescent="0.2">
      <c r="A7" s="30" t="s">
        <v>525</v>
      </c>
      <c r="B7" s="84" t="s">
        <v>526</v>
      </c>
      <c r="C7" s="119"/>
      <c r="D7" s="119"/>
      <c r="E7" s="119"/>
      <c r="F7" s="119"/>
      <c r="G7" s="119"/>
    </row>
    <row r="8" spans="1:7" ht="23.25" customHeight="1" x14ac:dyDescent="0.2">
      <c r="A8" s="30" t="s">
        <v>527</v>
      </c>
      <c r="B8" s="84" t="s">
        <v>528</v>
      </c>
      <c r="C8" s="119"/>
      <c r="D8" s="119"/>
      <c r="E8" s="119"/>
      <c r="F8" s="119"/>
      <c r="G8" s="119"/>
    </row>
    <row r="9" spans="1:7" ht="15" customHeight="1" x14ac:dyDescent="0.2">
      <c r="A9" s="30" t="s">
        <v>529</v>
      </c>
      <c r="B9" s="84" t="s">
        <v>530</v>
      </c>
      <c r="C9" s="119"/>
      <c r="D9" s="119"/>
      <c r="E9" s="119"/>
      <c r="F9" s="119"/>
      <c r="G9" s="119"/>
    </row>
    <row r="10" spans="1:7" ht="15" customHeight="1" x14ac:dyDescent="0.2">
      <c r="A10" s="30" t="s">
        <v>531</v>
      </c>
      <c r="B10" s="84" t="s">
        <v>532</v>
      </c>
      <c r="C10" s="119"/>
      <c r="D10" s="119"/>
      <c r="E10" s="119"/>
      <c r="F10" s="119"/>
      <c r="G10" s="119"/>
    </row>
    <row r="11" spans="1:7" ht="15" customHeight="1" x14ac:dyDescent="0.2">
      <c r="A11" s="30" t="s">
        <v>533</v>
      </c>
      <c r="B11" s="84" t="s">
        <v>534</v>
      </c>
      <c r="C11" s="119"/>
      <c r="D11" s="119"/>
      <c r="E11" s="119"/>
      <c r="F11" s="119"/>
      <c r="G11" s="119"/>
    </row>
    <row r="12" spans="1:7" ht="15" customHeight="1" x14ac:dyDescent="0.2">
      <c r="A12" s="30" t="s">
        <v>535</v>
      </c>
      <c r="B12" s="84">
        <v>30</v>
      </c>
      <c r="C12" s="119"/>
      <c r="D12" s="119"/>
      <c r="E12" s="119"/>
      <c r="F12" s="119"/>
      <c r="G12" s="119"/>
    </row>
    <row r="14" spans="1:7" ht="18" customHeight="1" x14ac:dyDescent="0.2">
      <c r="A14" s="104" t="s">
        <v>536</v>
      </c>
      <c r="B14" s="104"/>
      <c r="C14" s="104"/>
      <c r="D14" s="104"/>
      <c r="E14" s="104"/>
      <c r="F14" s="104"/>
      <c r="G14" s="104"/>
    </row>
    <row r="15" spans="1:7" ht="23.25" customHeight="1" x14ac:dyDescent="0.2">
      <c r="A15" s="29" t="s">
        <v>437</v>
      </c>
      <c r="B15" s="29" t="s">
        <v>537</v>
      </c>
      <c r="C15" s="29" t="s">
        <v>538</v>
      </c>
      <c r="D15" s="29" t="s">
        <v>255</v>
      </c>
      <c r="E15" s="29" t="s">
        <v>539</v>
      </c>
      <c r="F15" s="29" t="s">
        <v>239</v>
      </c>
      <c r="G15" s="29" t="s">
        <v>540</v>
      </c>
    </row>
    <row r="16" spans="1:7" ht="15" customHeight="1" x14ac:dyDescent="0.2">
      <c r="A16" s="53" t="s">
        <v>541</v>
      </c>
      <c r="B16" s="31">
        <v>1</v>
      </c>
      <c r="C16" s="31">
        <v>20</v>
      </c>
      <c r="D16" s="33" t="s">
        <v>384</v>
      </c>
      <c r="E16" s="31">
        <v>18000</v>
      </c>
      <c r="F16" s="46">
        <v>0</v>
      </c>
      <c r="G16" s="39">
        <f t="shared" ref="G16:G22" si="0">B16*C16*E16*(1-F16)</f>
        <v>360000</v>
      </c>
    </row>
    <row r="17" spans="1:7" ht="23.25" customHeight="1" x14ac:dyDescent="0.2">
      <c r="A17" s="53" t="s">
        <v>542</v>
      </c>
      <c r="B17" s="31">
        <v>1</v>
      </c>
      <c r="C17" s="31">
        <v>20</v>
      </c>
      <c r="D17" s="33" t="s">
        <v>386</v>
      </c>
      <c r="E17" s="31">
        <v>28000</v>
      </c>
      <c r="F17" s="46">
        <v>0</v>
      </c>
      <c r="G17" s="39">
        <f t="shared" si="0"/>
        <v>560000</v>
      </c>
    </row>
    <row r="18" spans="1:7" ht="15" customHeight="1" x14ac:dyDescent="0.2">
      <c r="A18" s="53" t="s">
        <v>543</v>
      </c>
      <c r="B18" s="85">
        <v>0</v>
      </c>
      <c r="C18" s="31">
        <v>0</v>
      </c>
      <c r="D18" s="33" t="s">
        <v>544</v>
      </c>
      <c r="E18" s="31">
        <v>800</v>
      </c>
      <c r="F18" s="46">
        <v>0</v>
      </c>
      <c r="G18" s="39">
        <f t="shared" si="0"/>
        <v>0</v>
      </c>
    </row>
    <row r="19" spans="1:7" ht="15" customHeight="1" x14ac:dyDescent="0.2">
      <c r="A19" s="53" t="s">
        <v>545</v>
      </c>
      <c r="B19" s="31">
        <v>1</v>
      </c>
      <c r="C19" s="31">
        <v>1</v>
      </c>
      <c r="D19" s="33" t="s">
        <v>546</v>
      </c>
      <c r="E19" s="31">
        <v>200000</v>
      </c>
      <c r="F19" s="46">
        <v>0</v>
      </c>
      <c r="G19" s="39">
        <f t="shared" si="0"/>
        <v>200000</v>
      </c>
    </row>
    <row r="20" spans="1:7" ht="15" customHeight="1" x14ac:dyDescent="0.2">
      <c r="A20" s="53" t="s">
        <v>547</v>
      </c>
      <c r="B20" s="85">
        <v>0</v>
      </c>
      <c r="C20" s="31">
        <v>1</v>
      </c>
      <c r="D20" s="33" t="s">
        <v>546</v>
      </c>
      <c r="E20" s="31">
        <v>0</v>
      </c>
      <c r="F20" s="46">
        <v>0.08</v>
      </c>
      <c r="G20" s="39">
        <f t="shared" si="0"/>
        <v>0</v>
      </c>
    </row>
    <row r="21" spans="1:7" ht="23.25" customHeight="1" x14ac:dyDescent="0.2">
      <c r="A21" s="53" t="s">
        <v>548</v>
      </c>
      <c r="B21" s="31">
        <v>1</v>
      </c>
      <c r="C21" s="31">
        <v>1</v>
      </c>
      <c r="D21" s="33" t="s">
        <v>546</v>
      </c>
      <c r="E21" s="31">
        <v>190000</v>
      </c>
      <c r="F21" s="46">
        <v>0</v>
      </c>
      <c r="G21" s="39">
        <f t="shared" si="0"/>
        <v>190000</v>
      </c>
    </row>
    <row r="22" spans="1:7" ht="23.25" customHeight="1" x14ac:dyDescent="0.2">
      <c r="A22" s="53" t="s">
        <v>549</v>
      </c>
      <c r="B22" s="85">
        <v>0</v>
      </c>
      <c r="C22" s="31">
        <v>1</v>
      </c>
      <c r="D22" s="33" t="s">
        <v>546</v>
      </c>
      <c r="E22" s="31">
        <v>0</v>
      </c>
      <c r="F22" s="46">
        <v>0</v>
      </c>
      <c r="G22" s="39">
        <f t="shared" si="0"/>
        <v>0</v>
      </c>
    </row>
    <row r="23" spans="1:7" ht="15" customHeight="1" x14ac:dyDescent="0.2">
      <c r="A23" s="108" t="s">
        <v>550</v>
      </c>
      <c r="B23" s="108"/>
      <c r="C23" s="108"/>
      <c r="D23" s="108"/>
      <c r="E23" s="108"/>
      <c r="F23" s="108"/>
      <c r="G23" s="108"/>
    </row>
    <row r="25" spans="1:7" ht="18" customHeight="1" x14ac:dyDescent="0.2">
      <c r="A25" s="104" t="s">
        <v>551</v>
      </c>
      <c r="B25" s="104"/>
      <c r="C25" s="104"/>
      <c r="D25" s="104"/>
      <c r="E25" s="104"/>
      <c r="F25" s="104"/>
      <c r="G25" s="104"/>
    </row>
    <row r="26" spans="1:7" ht="15" customHeight="1" x14ac:dyDescent="0.2">
      <c r="A26" s="105" t="s">
        <v>552</v>
      </c>
      <c r="B26" s="105"/>
      <c r="C26" s="105"/>
      <c r="D26" s="105"/>
      <c r="E26" s="105"/>
      <c r="F26" s="105"/>
      <c r="G26" s="105"/>
    </row>
    <row r="27" spans="1:7" ht="15" customHeight="1" x14ac:dyDescent="0.2">
      <c r="A27" s="29" t="s">
        <v>168</v>
      </c>
      <c r="B27" s="29" t="s">
        <v>224</v>
      </c>
      <c r="C27" s="135"/>
      <c r="D27" s="135"/>
      <c r="E27" s="135"/>
      <c r="F27" s="135"/>
      <c r="G27" s="135"/>
    </row>
    <row r="28" spans="1:7" ht="15" customHeight="1" x14ac:dyDescent="0.2">
      <c r="A28" s="4" t="s">
        <v>553</v>
      </c>
      <c r="B28" s="31">
        <v>600</v>
      </c>
      <c r="C28" s="119"/>
      <c r="D28" s="119"/>
      <c r="E28" s="119"/>
      <c r="F28" s="119"/>
      <c r="G28" s="119"/>
    </row>
    <row r="29" spans="1:7" ht="27" customHeight="1" x14ac:dyDescent="0.2">
      <c r="A29" s="4" t="s">
        <v>554</v>
      </c>
      <c r="B29" s="86">
        <f>'9-Alc-Planes-Volumen'!B7</f>
        <v>800</v>
      </c>
      <c r="C29" s="119"/>
      <c r="D29" s="119"/>
      <c r="E29" s="119"/>
      <c r="F29" s="119"/>
      <c r="G29" s="119"/>
    </row>
    <row r="30" spans="1:7" ht="15" customHeight="1" x14ac:dyDescent="0.2">
      <c r="A30" s="4" t="s">
        <v>555</v>
      </c>
      <c r="B30" s="42">
        <f>B28*B29</f>
        <v>480000</v>
      </c>
      <c r="C30" s="119"/>
      <c r="D30" s="119"/>
      <c r="E30" s="119"/>
      <c r="F30" s="119"/>
      <c r="G30" s="119"/>
    </row>
    <row r="31" spans="1:7" ht="23.25" customHeight="1" x14ac:dyDescent="0.2">
      <c r="A31" s="4" t="s">
        <v>556</v>
      </c>
      <c r="B31" s="86">
        <f>'9-Alc-Planes-Volumen'!G23</f>
        <v>305000</v>
      </c>
      <c r="C31" s="119"/>
      <c r="D31" s="119"/>
      <c r="E31" s="119"/>
      <c r="F31" s="119"/>
      <c r="G31" s="119"/>
    </row>
    <row r="32" spans="1:7" ht="15" customHeight="1" x14ac:dyDescent="0.2">
      <c r="A32" s="4" t="s">
        <v>557</v>
      </c>
      <c r="B32" s="86">
        <f>'9-Alc-Planes-Volumen'!I23</f>
        <v>280000</v>
      </c>
      <c r="C32" s="119"/>
      <c r="D32" s="119"/>
      <c r="E32" s="119"/>
      <c r="F32" s="119"/>
      <c r="G32" s="119"/>
    </row>
    <row r="33" spans="1:7" ht="23.25" customHeight="1" x14ac:dyDescent="0.2">
      <c r="A33" s="10" t="s">
        <v>558</v>
      </c>
      <c r="B33" s="39">
        <f>MAX(0,B30-B31)</f>
        <v>175000</v>
      </c>
      <c r="C33" s="119"/>
      <c r="D33" s="119"/>
      <c r="E33" s="119"/>
      <c r="F33" s="119"/>
      <c r="G33" s="119"/>
    </row>
    <row r="34" spans="1:7" ht="23.25" customHeight="1" x14ac:dyDescent="0.2">
      <c r="A34" s="10" t="s">
        <v>559</v>
      </c>
      <c r="B34" s="39">
        <f>MAX(0,B30-B32)</f>
        <v>200000</v>
      </c>
      <c r="C34" s="119"/>
      <c r="D34" s="119"/>
      <c r="E34" s="119"/>
      <c r="F34" s="119"/>
      <c r="G34" s="119"/>
    </row>
    <row r="35" spans="1:7" ht="35" customHeight="1" x14ac:dyDescent="0.2">
      <c r="A35" s="38" t="s">
        <v>560</v>
      </c>
      <c r="B35" s="87" t="str">
        <f>IF(AND(B33=0,B34=0),"✅ Pay-per-Use (volumen bajo)",IF(B34&gt;=B33,"✅ Plan Prepago (mayor ahorro)","✅ Plan Fijo Mensual"))</f>
        <v>✅ Plan Prepago (mayor ahorro)</v>
      </c>
      <c r="C35" s="119"/>
      <c r="D35" s="119"/>
      <c r="E35" s="119"/>
      <c r="F35" s="119"/>
      <c r="G35" s="119"/>
    </row>
    <row r="37" spans="1:7" ht="18" customHeight="1" x14ac:dyDescent="0.2">
      <c r="A37" s="104" t="s">
        <v>561</v>
      </c>
      <c r="B37" s="104"/>
      <c r="C37" s="104"/>
      <c r="D37" s="104"/>
      <c r="E37" s="104"/>
      <c r="F37" s="104"/>
      <c r="G37" s="104"/>
    </row>
    <row r="38" spans="1:7" ht="15" customHeight="1" x14ac:dyDescent="0.2">
      <c r="A38" s="29" t="s">
        <v>110</v>
      </c>
      <c r="B38" s="29" t="s">
        <v>224</v>
      </c>
      <c r="C38" s="135" t="s">
        <v>562</v>
      </c>
      <c r="D38" s="135"/>
      <c r="E38" s="135"/>
      <c r="F38" s="135"/>
      <c r="G38" s="135"/>
    </row>
    <row r="39" spans="1:7" ht="15" customHeight="1" x14ac:dyDescent="0.2">
      <c r="A39" s="30" t="s">
        <v>563</v>
      </c>
      <c r="B39" s="34">
        <f>SUMIF(B16:B22,1,B16:B22)</f>
        <v>4</v>
      </c>
      <c r="C39" s="119" t="s">
        <v>564</v>
      </c>
      <c r="D39" s="119"/>
      <c r="E39" s="119"/>
      <c r="F39" s="119"/>
      <c r="G39" s="119"/>
    </row>
    <row r="40" spans="1:7" ht="15" customHeight="1" x14ac:dyDescent="0.2">
      <c r="A40" s="30" t="s">
        <v>565</v>
      </c>
      <c r="B40" s="46">
        <v>0.1</v>
      </c>
      <c r="C40" s="119" t="s">
        <v>566</v>
      </c>
      <c r="D40" s="119"/>
      <c r="E40" s="119"/>
      <c r="F40" s="119"/>
      <c r="G40" s="119"/>
    </row>
    <row r="41" spans="1:7" ht="15" customHeight="1" x14ac:dyDescent="0.2">
      <c r="A41" s="105" t="s">
        <v>567</v>
      </c>
      <c r="B41" s="105"/>
      <c r="C41" s="105"/>
      <c r="D41" s="105"/>
      <c r="E41" s="105"/>
      <c r="F41" s="105"/>
      <c r="G41" s="105"/>
    </row>
    <row r="43" spans="1:7" ht="18" customHeight="1" x14ac:dyDescent="0.2">
      <c r="A43" s="136" t="s">
        <v>568</v>
      </c>
      <c r="B43" s="136"/>
      <c r="C43" s="136"/>
      <c r="D43" s="136"/>
      <c r="E43" s="136"/>
      <c r="F43" s="136"/>
      <c r="G43" s="136"/>
    </row>
    <row r="44" spans="1:7" ht="15" customHeight="1" x14ac:dyDescent="0.2">
      <c r="A44" s="132" t="s">
        <v>569</v>
      </c>
      <c r="B44" s="132"/>
      <c r="C44" s="132"/>
      <c r="D44" s="132"/>
      <c r="E44" s="132" t="s">
        <v>570</v>
      </c>
      <c r="F44" s="132"/>
      <c r="G44" s="132"/>
    </row>
    <row r="45" spans="1:7" ht="15" customHeight="1" x14ac:dyDescent="0.2">
      <c r="A45" s="133" t="s">
        <v>571</v>
      </c>
      <c r="B45" s="133"/>
      <c r="C45" s="133"/>
      <c r="D45" s="133"/>
      <c r="E45" s="134">
        <f>SUMPRODUCT((B16:B22)*C16:C22*E16:E22)</f>
        <v>1310000</v>
      </c>
      <c r="F45" s="134"/>
      <c r="G45" s="134"/>
    </row>
    <row r="46" spans="1:7" ht="15" customHeight="1" x14ac:dyDescent="0.2">
      <c r="A46" s="133" t="s">
        <v>572</v>
      </c>
      <c r="B46" s="133"/>
      <c r="C46" s="133"/>
      <c r="D46" s="133"/>
      <c r="E46" s="134">
        <f>SUM(G16:G22)</f>
        <v>1310000</v>
      </c>
      <c r="F46" s="134"/>
      <c r="G46" s="134"/>
    </row>
    <row r="47" spans="1:7" ht="15" customHeight="1" x14ac:dyDescent="0.2">
      <c r="A47" s="126" t="s">
        <v>565</v>
      </c>
      <c r="B47" s="126"/>
      <c r="C47" s="126"/>
      <c r="D47" s="126"/>
      <c r="E47" s="127">
        <f>-SUM(G16:G22)*B40</f>
        <v>-131000</v>
      </c>
      <c r="F47" s="127"/>
      <c r="G47" s="127"/>
    </row>
    <row r="48" spans="1:7" ht="24" customHeight="1" x14ac:dyDescent="0.2">
      <c r="A48" s="128" t="s">
        <v>573</v>
      </c>
      <c r="B48" s="128"/>
      <c r="C48" s="128"/>
      <c r="D48" s="128"/>
      <c r="E48" s="129">
        <f>G46+G47</f>
        <v>0</v>
      </c>
      <c r="F48" s="129"/>
      <c r="G48" s="129"/>
    </row>
    <row r="49" spans="1:7" ht="15" customHeight="1" x14ac:dyDescent="0.2">
      <c r="A49" s="130" t="s">
        <v>574</v>
      </c>
      <c r="B49" s="130"/>
      <c r="C49" s="130"/>
      <c r="D49" s="130"/>
      <c r="E49" s="131">
        <f>G48*12</f>
        <v>0</v>
      </c>
      <c r="F49" s="131"/>
      <c r="G49" s="131"/>
    </row>
    <row r="50" spans="1:7" ht="15" customHeight="1" x14ac:dyDescent="0.2">
      <c r="A50" s="121" t="s">
        <v>575</v>
      </c>
      <c r="B50" s="121"/>
      <c r="C50" s="121"/>
      <c r="D50" s="121"/>
      <c r="E50" s="122">
        <f>G45-G48</f>
        <v>0</v>
      </c>
      <c r="F50" s="122"/>
      <c r="G50" s="122"/>
    </row>
    <row r="51" spans="1:7" ht="15" customHeight="1" x14ac:dyDescent="0.2">
      <c r="A51" s="123" t="s">
        <v>576</v>
      </c>
      <c r="B51" s="123"/>
      <c r="C51" s="123"/>
      <c r="D51" s="123"/>
      <c r="E51" s="124">
        <f>IF(G45&gt;0,(G45-G48)/G45,0)</f>
        <v>0</v>
      </c>
      <c r="F51" s="124"/>
      <c r="G51" s="124"/>
    </row>
    <row r="53" spans="1:7" ht="18" customHeight="1" x14ac:dyDescent="0.2">
      <c r="A53" s="125" t="s">
        <v>577</v>
      </c>
      <c r="B53" s="125"/>
      <c r="C53" s="125"/>
      <c r="D53" s="125"/>
      <c r="E53" s="125"/>
      <c r="F53" s="125"/>
      <c r="G53" s="125"/>
    </row>
    <row r="54" spans="1:7" ht="15" customHeight="1" x14ac:dyDescent="0.2">
      <c r="A54" s="88" t="s">
        <v>522</v>
      </c>
      <c r="B54" s="88" t="s">
        <v>224</v>
      </c>
      <c r="C54" s="120"/>
      <c r="D54" s="120"/>
      <c r="E54" s="120"/>
      <c r="F54" s="120"/>
      <c r="G54" s="120"/>
    </row>
    <row r="55" spans="1:7" ht="15" customHeight="1" x14ac:dyDescent="0.2">
      <c r="A55" s="38" t="s">
        <v>578</v>
      </c>
      <c r="B55" s="89" t="str">
        <f>B6</f>
        <v>Empresa XYZ S.A.S.</v>
      </c>
      <c r="C55" s="119"/>
      <c r="D55" s="119"/>
      <c r="E55" s="119"/>
      <c r="F55" s="119"/>
      <c r="G55" s="119"/>
    </row>
    <row r="56" spans="1:7" ht="15" customHeight="1" x14ac:dyDescent="0.2">
      <c r="A56" s="38" t="s">
        <v>525</v>
      </c>
      <c r="B56" s="89" t="str">
        <f>B7</f>
        <v>900.000.000-0</v>
      </c>
      <c r="C56" s="119"/>
      <c r="D56" s="119"/>
      <c r="E56" s="119"/>
      <c r="F56" s="119"/>
      <c r="G56" s="119"/>
    </row>
    <row r="57" spans="1:7" ht="15" customHeight="1" x14ac:dyDescent="0.2">
      <c r="A57" s="38" t="s">
        <v>533</v>
      </c>
      <c r="B57" s="89" t="str">
        <f>B11</f>
        <v>31/03/2026</v>
      </c>
      <c r="C57" s="119"/>
      <c r="D57" s="119"/>
      <c r="E57" s="119"/>
      <c r="F57" s="119"/>
      <c r="G57" s="119"/>
    </row>
    <row r="58" spans="1:7" ht="15" customHeight="1" x14ac:dyDescent="0.2">
      <c r="A58" s="38" t="s">
        <v>579</v>
      </c>
      <c r="B58" s="89">
        <f>B12</f>
        <v>30</v>
      </c>
      <c r="C58" s="119"/>
      <c r="D58" s="119"/>
      <c r="E58" s="119"/>
      <c r="F58" s="119"/>
      <c r="G58" s="119"/>
    </row>
    <row r="59" spans="1:7" ht="15" customHeight="1" x14ac:dyDescent="0.2">
      <c r="A59" s="38" t="s">
        <v>580</v>
      </c>
      <c r="B59" s="39">
        <f>B39</f>
        <v>4</v>
      </c>
      <c r="C59" s="119"/>
      <c r="D59" s="119"/>
      <c r="E59" s="119"/>
      <c r="F59" s="119"/>
      <c r="G59" s="119"/>
    </row>
    <row r="60" spans="1:7" ht="15" customHeight="1" x14ac:dyDescent="0.2">
      <c r="A60" s="38" t="s">
        <v>581</v>
      </c>
      <c r="B60" s="39">
        <f>G48</f>
        <v>0</v>
      </c>
      <c r="C60" s="119"/>
      <c r="D60" s="119"/>
      <c r="E60" s="119"/>
      <c r="F60" s="119"/>
      <c r="G60" s="119"/>
    </row>
    <row r="61" spans="1:7" ht="15" customHeight="1" x14ac:dyDescent="0.2">
      <c r="A61" s="38" t="s">
        <v>582</v>
      </c>
      <c r="B61" s="39">
        <f>G48*12</f>
        <v>0</v>
      </c>
      <c r="C61" s="119"/>
      <c r="D61" s="119"/>
      <c r="E61" s="119"/>
      <c r="F61" s="119"/>
      <c r="G61" s="119"/>
    </row>
    <row r="62" spans="1:7" ht="15" customHeight="1" x14ac:dyDescent="0.2">
      <c r="A62" s="38" t="s">
        <v>583</v>
      </c>
      <c r="B62" s="45">
        <f>IF(G45&gt;0,(G45-G48)/G45,0)</f>
        <v>0</v>
      </c>
      <c r="C62" s="119"/>
      <c r="D62" s="119"/>
      <c r="E62" s="119"/>
      <c r="F62" s="119"/>
      <c r="G62" s="119"/>
    </row>
    <row r="64" spans="1:7" ht="15" customHeight="1" x14ac:dyDescent="0.2">
      <c r="A64" s="109" t="s">
        <v>584</v>
      </c>
      <c r="B64" s="109"/>
      <c r="C64" s="109"/>
      <c r="D64" s="109"/>
      <c r="E64" s="109"/>
      <c r="F64" s="109"/>
      <c r="G64" s="109"/>
    </row>
  </sheetData>
  <mergeCells count="57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C12:G12"/>
    <mergeCell ref="A14:G14"/>
    <mergeCell ref="A23:G23"/>
    <mergeCell ref="A25:G25"/>
    <mergeCell ref="A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A37:G37"/>
    <mergeCell ref="C38:G38"/>
    <mergeCell ref="C39:G39"/>
    <mergeCell ref="C40:G40"/>
    <mergeCell ref="A41:G41"/>
    <mergeCell ref="A43:G43"/>
    <mergeCell ref="A44:D44"/>
    <mergeCell ref="E44:G44"/>
    <mergeCell ref="A45:D45"/>
    <mergeCell ref="E45:G45"/>
    <mergeCell ref="A46:D46"/>
    <mergeCell ref="E46:G46"/>
    <mergeCell ref="A47:D47"/>
    <mergeCell ref="E47:G47"/>
    <mergeCell ref="A48:D48"/>
    <mergeCell ref="E48:G48"/>
    <mergeCell ref="A49:D49"/>
    <mergeCell ref="E49:G49"/>
    <mergeCell ref="A50:D50"/>
    <mergeCell ref="E50:G50"/>
    <mergeCell ref="A51:D51"/>
    <mergeCell ref="E51:G51"/>
    <mergeCell ref="A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A64:G6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0-Leyenda</vt:lpstr>
      <vt:lpstr>1-Costos-Operativos</vt:lpstr>
      <vt:lpstr>2-SICOV</vt:lpstr>
      <vt:lpstr>3-App-Conductor</vt:lpstr>
      <vt:lpstr>4-Alcoholemia-Soplada</vt:lpstr>
      <vt:lpstr>5-Alcoholemia-Mensual</vt:lpstr>
      <vt:lpstr>6-PESV</vt:lpstr>
      <vt:lpstr>7-Paquetes</vt:lpstr>
      <vt:lpstr>8-Resumen</vt:lpstr>
      <vt:lpstr>9-Alc-Planes-Volumen</vt:lpstr>
      <vt:lpstr>10-Cotizador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2026-03-31T19:25:28Z</dcterms:created>
  <dcterms:modified xsi:type="dcterms:W3CDTF">2026-04-01T05:20:57Z</dcterms:modified>
  <dc:language>en-US</dc:language>
</cp:coreProperties>
</file>